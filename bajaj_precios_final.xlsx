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3B7A03AD-C761-42A7-9AEB-A5B05F17E1A4}" xr6:coauthVersionLast="47" xr6:coauthVersionMax="47" xr10:uidLastSave="{00000000-0000-0000-0000-000000000000}"/>
  <bookViews>
    <workbookView xWindow="3036" yWindow="3036" windowWidth="23040" windowHeight="13560" tabRatio="500" activeTab="2" xr2:uid="{00000000-000D-0000-FFFF-FFFF00000000}"/>
  </bookViews>
  <sheets>
    <sheet name="Configuración" sheetId="1" r:id="rId1"/>
    <sheet name="Tarifas Shoppre" sheetId="2" r:id="rId2"/>
    <sheet name="Catálogo" sheetId="3" r:id="rId3"/>
    <sheet name="Próximo Pedido" sheetId="4" r:id="rId4"/>
    <sheet name="Calculadora" sheetId="5" r:id="rId5"/>
    <sheet name="Simulador Enví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6" l="1"/>
  <c r="B11" i="6"/>
  <c r="K25" i="5"/>
  <c r="I24" i="5"/>
  <c r="F24" i="5"/>
  <c r="H24" i="5" s="1"/>
  <c r="C24" i="5"/>
  <c r="J24" i="5" s="1"/>
  <c r="L24" i="5" s="1"/>
  <c r="N24" i="5" s="1"/>
  <c r="I23" i="5"/>
  <c r="F23" i="5"/>
  <c r="H23" i="5" s="1"/>
  <c r="C23" i="5"/>
  <c r="J23" i="5" s="1"/>
  <c r="L23" i="5" s="1"/>
  <c r="M23" i="5" s="1"/>
  <c r="J22" i="5"/>
  <c r="L22" i="5" s="1"/>
  <c r="I22" i="5"/>
  <c r="F22" i="5"/>
  <c r="H22" i="5" s="1"/>
  <c r="C22" i="5"/>
  <c r="I21" i="5"/>
  <c r="F21" i="5"/>
  <c r="H21" i="5" s="1"/>
  <c r="C21" i="5"/>
  <c r="J21" i="5" s="1"/>
  <c r="L21" i="5" s="1"/>
  <c r="I20" i="5"/>
  <c r="F20" i="5"/>
  <c r="H20" i="5" s="1"/>
  <c r="C20" i="5"/>
  <c r="J20" i="5" s="1"/>
  <c r="L20" i="5" s="1"/>
  <c r="M20" i="5" s="1"/>
  <c r="I19" i="5"/>
  <c r="F19" i="5"/>
  <c r="H19" i="5" s="1"/>
  <c r="C19" i="5"/>
  <c r="J19" i="5" s="1"/>
  <c r="L19" i="5" s="1"/>
  <c r="M19" i="5" s="1"/>
  <c r="J18" i="5"/>
  <c r="L18" i="5" s="1"/>
  <c r="I18" i="5"/>
  <c r="F18" i="5"/>
  <c r="H18" i="5" s="1"/>
  <c r="C18" i="5"/>
  <c r="I17" i="5"/>
  <c r="F17" i="5"/>
  <c r="H17" i="5" s="1"/>
  <c r="C17" i="5"/>
  <c r="J17" i="5" s="1"/>
  <c r="L17" i="5" s="1"/>
  <c r="N16" i="5"/>
  <c r="M16" i="5"/>
  <c r="I16" i="5"/>
  <c r="F16" i="5"/>
  <c r="H16" i="5" s="1"/>
  <c r="C16" i="5"/>
  <c r="J16" i="5" s="1"/>
  <c r="L16" i="5" s="1"/>
  <c r="I15" i="5"/>
  <c r="F15" i="5"/>
  <c r="H15" i="5" s="1"/>
  <c r="C15" i="5"/>
  <c r="J15" i="5" s="1"/>
  <c r="L15" i="5" s="1"/>
  <c r="N15" i="5" s="1"/>
  <c r="J14" i="5"/>
  <c r="L14" i="5" s="1"/>
  <c r="I14" i="5"/>
  <c r="F14" i="5"/>
  <c r="H14" i="5" s="1"/>
  <c r="C14" i="5"/>
  <c r="I13" i="5"/>
  <c r="H13" i="5"/>
  <c r="F13" i="5"/>
  <c r="C13" i="5"/>
  <c r="J13" i="5" s="1"/>
  <c r="L13" i="5" s="1"/>
  <c r="I12" i="5"/>
  <c r="F12" i="5"/>
  <c r="H12" i="5" s="1"/>
  <c r="C12" i="5"/>
  <c r="J12" i="5" s="1"/>
  <c r="L12" i="5" s="1"/>
  <c r="N12" i="5" s="1"/>
  <c r="I11" i="5"/>
  <c r="F11" i="5"/>
  <c r="H11" i="5" s="1"/>
  <c r="C11" i="5"/>
  <c r="J11" i="5" s="1"/>
  <c r="L11" i="5" s="1"/>
  <c r="N11" i="5" s="1"/>
  <c r="J10" i="5"/>
  <c r="L10" i="5" s="1"/>
  <c r="I10" i="5"/>
  <c r="F10" i="5"/>
  <c r="H10" i="5" s="1"/>
  <c r="C10" i="5"/>
  <c r="I9" i="5"/>
  <c r="F9" i="5"/>
  <c r="H9" i="5" s="1"/>
  <c r="C9" i="5"/>
  <c r="J9" i="5" s="1"/>
  <c r="L9" i="5" s="1"/>
  <c r="I8" i="5"/>
  <c r="H8" i="5"/>
  <c r="F8" i="5"/>
  <c r="C8" i="5"/>
  <c r="J8" i="5" s="1"/>
  <c r="L8" i="5" s="1"/>
  <c r="N8" i="5" s="1"/>
  <c r="I7" i="5"/>
  <c r="F7" i="5"/>
  <c r="H7" i="5" s="1"/>
  <c r="C7" i="5"/>
  <c r="J7" i="5" s="1"/>
  <c r="L7" i="5" s="1"/>
  <c r="N7" i="5" s="1"/>
  <c r="J6" i="5"/>
  <c r="L6" i="5" s="1"/>
  <c r="I6" i="5"/>
  <c r="F6" i="5"/>
  <c r="H6" i="5" s="1"/>
  <c r="C6" i="5"/>
  <c r="I5" i="5"/>
  <c r="H5" i="5"/>
  <c r="F5" i="5"/>
  <c r="C5" i="5"/>
  <c r="J5" i="5" s="1"/>
  <c r="L5" i="5" s="1"/>
  <c r="J24" i="4"/>
  <c r="E24" i="4"/>
  <c r="D24" i="4"/>
  <c r="F24" i="4" s="1"/>
  <c r="G24" i="4" s="1"/>
  <c r="C24" i="4"/>
  <c r="I24" i="4" s="1"/>
  <c r="K24" i="4" s="1"/>
  <c r="L24" i="4" s="1"/>
  <c r="J23" i="4"/>
  <c r="E23" i="4"/>
  <c r="D23" i="4"/>
  <c r="F23" i="4" s="1"/>
  <c r="G23" i="4" s="1"/>
  <c r="C23" i="4"/>
  <c r="I23" i="4" s="1"/>
  <c r="K23" i="4" s="1"/>
  <c r="L23" i="4" s="1"/>
  <c r="J22" i="4"/>
  <c r="E22" i="4"/>
  <c r="D22" i="4"/>
  <c r="F22" i="4" s="1"/>
  <c r="C22" i="4"/>
  <c r="I22" i="4" s="1"/>
  <c r="K22" i="4" s="1"/>
  <c r="L22" i="4" s="1"/>
  <c r="J21" i="4"/>
  <c r="E21" i="4"/>
  <c r="D21" i="4"/>
  <c r="F21" i="4" s="1"/>
  <c r="G21" i="4" s="1"/>
  <c r="C21" i="4"/>
  <c r="H21" i="4" s="1"/>
  <c r="J20" i="4"/>
  <c r="E20" i="4"/>
  <c r="D20" i="4"/>
  <c r="F20" i="4" s="1"/>
  <c r="C20" i="4"/>
  <c r="J19" i="4"/>
  <c r="E19" i="4"/>
  <c r="D19" i="4"/>
  <c r="F19" i="4" s="1"/>
  <c r="G19" i="4" s="1"/>
  <c r="C19" i="4"/>
  <c r="I19" i="4" s="1"/>
  <c r="K19" i="4" s="1"/>
  <c r="L19" i="4" s="1"/>
  <c r="J18" i="4"/>
  <c r="E18" i="4"/>
  <c r="D18" i="4"/>
  <c r="F18" i="4" s="1"/>
  <c r="G18" i="4" s="1"/>
  <c r="C18" i="4"/>
  <c r="I18" i="4" s="1"/>
  <c r="K18" i="4" s="1"/>
  <c r="L18" i="4" s="1"/>
  <c r="J17" i="4"/>
  <c r="E17" i="4"/>
  <c r="D17" i="4"/>
  <c r="F17" i="4" s="1"/>
  <c r="G17" i="4" s="1"/>
  <c r="C17" i="4"/>
  <c r="J16" i="4"/>
  <c r="E16" i="4"/>
  <c r="D16" i="4"/>
  <c r="F16" i="4" s="1"/>
  <c r="G16" i="4" s="1"/>
  <c r="C16" i="4"/>
  <c r="J15" i="4"/>
  <c r="E15" i="4"/>
  <c r="D15" i="4"/>
  <c r="F15" i="4" s="1"/>
  <c r="G15" i="4" s="1"/>
  <c r="C15" i="4"/>
  <c r="J14" i="4"/>
  <c r="E14" i="4"/>
  <c r="D14" i="4"/>
  <c r="F14" i="4" s="1"/>
  <c r="G14" i="4" s="1"/>
  <c r="C14" i="4"/>
  <c r="I14" i="4" s="1"/>
  <c r="K14" i="4" s="1"/>
  <c r="L14" i="4" s="1"/>
  <c r="J13" i="4"/>
  <c r="E13" i="4"/>
  <c r="D13" i="4"/>
  <c r="F13" i="4" s="1"/>
  <c r="G13" i="4" s="1"/>
  <c r="C13" i="4"/>
  <c r="I13" i="4" s="1"/>
  <c r="K13" i="4" s="1"/>
  <c r="L13" i="4" s="1"/>
  <c r="J12" i="4"/>
  <c r="E12" i="4"/>
  <c r="D12" i="4"/>
  <c r="F12" i="4" s="1"/>
  <c r="C12" i="4"/>
  <c r="J11" i="4"/>
  <c r="E11" i="4"/>
  <c r="D11" i="4"/>
  <c r="F11" i="4" s="1"/>
  <c r="G11" i="4" s="1"/>
  <c r="C11" i="4"/>
  <c r="H11" i="4" s="1"/>
  <c r="J10" i="4"/>
  <c r="E10" i="4"/>
  <c r="D10" i="4"/>
  <c r="F10" i="4" s="1"/>
  <c r="G10" i="4" s="1"/>
  <c r="C10" i="4"/>
  <c r="I10" i="4" s="1"/>
  <c r="K10" i="4" s="1"/>
  <c r="L10" i="4" s="1"/>
  <c r="J9" i="4"/>
  <c r="E9" i="4"/>
  <c r="D9" i="4"/>
  <c r="F9" i="4" s="1"/>
  <c r="C9" i="4"/>
  <c r="I9" i="4" s="1"/>
  <c r="K9" i="4" s="1"/>
  <c r="L9" i="4" s="1"/>
  <c r="J8" i="4"/>
  <c r="E8" i="4"/>
  <c r="D8" i="4"/>
  <c r="F8" i="4" s="1"/>
  <c r="C8" i="4"/>
  <c r="I8" i="4" s="1"/>
  <c r="K8" i="4" s="1"/>
  <c r="L8" i="4" s="1"/>
  <c r="J7" i="4"/>
  <c r="E7" i="4"/>
  <c r="D7" i="4"/>
  <c r="F7" i="4" s="1"/>
  <c r="G7" i="4" s="1"/>
  <c r="C7" i="4"/>
  <c r="I7" i="4" s="1"/>
  <c r="K7" i="4" s="1"/>
  <c r="L7" i="4" s="1"/>
  <c r="J6" i="4"/>
  <c r="E6" i="4"/>
  <c r="D6" i="4"/>
  <c r="F6" i="4" s="1"/>
  <c r="G6" i="4" s="1"/>
  <c r="C6" i="4"/>
  <c r="I6" i="4" s="1"/>
  <c r="K6" i="4" s="1"/>
  <c r="L6" i="4" s="1"/>
  <c r="J5" i="4"/>
  <c r="E5" i="4"/>
  <c r="D5" i="4"/>
  <c r="F5" i="4" s="1"/>
  <c r="C5" i="4"/>
  <c r="I5" i="4" s="1"/>
  <c r="M39" i="3"/>
  <c r="L39" i="3"/>
  <c r="I39" i="3"/>
  <c r="N39" i="3" s="1"/>
  <c r="N38" i="3"/>
  <c r="M38" i="3"/>
  <c r="L38" i="3"/>
  <c r="J38" i="3"/>
  <c r="I38" i="3"/>
  <c r="M37" i="3"/>
  <c r="L37" i="3"/>
  <c r="O37" i="3" s="1"/>
  <c r="I37" i="3"/>
  <c r="N37" i="3" s="1"/>
  <c r="M36" i="3"/>
  <c r="L36" i="3"/>
  <c r="Q36" i="3" s="1"/>
  <c r="T36" i="3" s="1"/>
  <c r="U36" i="3" s="1"/>
  <c r="J36" i="3"/>
  <c r="I36" i="3"/>
  <c r="N36" i="3" s="1"/>
  <c r="M35" i="3"/>
  <c r="L35" i="3"/>
  <c r="I35" i="3"/>
  <c r="N35" i="3" s="1"/>
  <c r="M34" i="3"/>
  <c r="L34" i="3"/>
  <c r="I34" i="3"/>
  <c r="N34" i="3" s="1"/>
  <c r="M33" i="3"/>
  <c r="L33" i="3"/>
  <c r="Q33" i="3" s="1"/>
  <c r="T33" i="3" s="1"/>
  <c r="U33" i="3" s="1"/>
  <c r="I33" i="3"/>
  <c r="J33" i="3" s="1"/>
  <c r="Q32" i="3"/>
  <c r="T32" i="3" s="1"/>
  <c r="U32" i="3" s="1"/>
  <c r="P32" i="3"/>
  <c r="O32" i="3"/>
  <c r="M32" i="3"/>
  <c r="L32" i="3"/>
  <c r="I32" i="3"/>
  <c r="N32" i="3" s="1"/>
  <c r="Q31" i="3"/>
  <c r="T31" i="3" s="1"/>
  <c r="U31" i="3" s="1"/>
  <c r="M31" i="3"/>
  <c r="L31" i="3"/>
  <c r="P31" i="3" s="1"/>
  <c r="J31" i="3"/>
  <c r="I31" i="3"/>
  <c r="N31" i="3" s="1"/>
  <c r="Q30" i="3"/>
  <c r="T30" i="3" s="1"/>
  <c r="U30" i="3" s="1"/>
  <c r="P30" i="3"/>
  <c r="M30" i="3"/>
  <c r="L30" i="3"/>
  <c r="O30" i="3" s="1"/>
  <c r="I30" i="3"/>
  <c r="N30" i="3" s="1"/>
  <c r="Q29" i="3"/>
  <c r="T29" i="3" s="1"/>
  <c r="U29" i="3" s="1"/>
  <c r="P29" i="3"/>
  <c r="O29" i="3"/>
  <c r="N29" i="3"/>
  <c r="M29" i="3"/>
  <c r="L29" i="3"/>
  <c r="I29" i="3"/>
  <c r="J29" i="3" s="1"/>
  <c r="Q28" i="3"/>
  <c r="T28" i="3" s="1"/>
  <c r="U28" i="3" s="1"/>
  <c r="P28" i="3"/>
  <c r="O28" i="3"/>
  <c r="M28" i="3"/>
  <c r="L28" i="3"/>
  <c r="I28" i="3"/>
  <c r="N28" i="3" s="1"/>
  <c r="Q27" i="3"/>
  <c r="T27" i="3" s="1"/>
  <c r="U27" i="3" s="1"/>
  <c r="P27" i="3"/>
  <c r="O27" i="3"/>
  <c r="N27" i="3"/>
  <c r="M27" i="3"/>
  <c r="L27" i="3"/>
  <c r="I27" i="3"/>
  <c r="J27" i="3" s="1"/>
  <c r="N26" i="3"/>
  <c r="M26" i="3"/>
  <c r="L26" i="3"/>
  <c r="J26" i="3"/>
  <c r="I26" i="3"/>
  <c r="Q25" i="3"/>
  <c r="T25" i="3" s="1"/>
  <c r="U25" i="3" s="1"/>
  <c r="P25" i="3"/>
  <c r="O25" i="3"/>
  <c r="N25" i="3"/>
  <c r="M25" i="3"/>
  <c r="L25" i="3"/>
  <c r="I25" i="3"/>
  <c r="J25" i="3" s="1"/>
  <c r="Q24" i="3"/>
  <c r="T24" i="3" s="1"/>
  <c r="U24" i="3" s="1"/>
  <c r="P24" i="3"/>
  <c r="N24" i="3"/>
  <c r="M24" i="3"/>
  <c r="L24" i="3"/>
  <c r="O24" i="3" s="1"/>
  <c r="I24" i="3"/>
  <c r="J24" i="3" s="1"/>
  <c r="M23" i="3"/>
  <c r="L23" i="3"/>
  <c r="I23" i="3"/>
  <c r="N23" i="3" s="1"/>
  <c r="N22" i="3"/>
  <c r="L22" i="3"/>
  <c r="J22" i="3"/>
  <c r="I22" i="3"/>
  <c r="O21" i="3"/>
  <c r="L21" i="3"/>
  <c r="I21" i="3"/>
  <c r="N21" i="3" s="1"/>
  <c r="L20" i="3"/>
  <c r="I20" i="3"/>
  <c r="J20" i="3" s="1"/>
  <c r="L19" i="3"/>
  <c r="I19" i="3"/>
  <c r="N19" i="3" s="1"/>
  <c r="L18" i="3"/>
  <c r="I18" i="3"/>
  <c r="N18" i="3" s="1"/>
  <c r="L17" i="3"/>
  <c r="I17" i="3"/>
  <c r="N17" i="3" s="1"/>
  <c r="P16" i="3"/>
  <c r="O16" i="3"/>
  <c r="L16" i="3"/>
  <c r="J16" i="3"/>
  <c r="I16" i="3"/>
  <c r="L15" i="3"/>
  <c r="P15" i="3" s="1"/>
  <c r="I15" i="3"/>
  <c r="J15" i="3" s="1"/>
  <c r="P14" i="3"/>
  <c r="L14" i="3"/>
  <c r="O14" i="3" s="1"/>
  <c r="I14" i="3"/>
  <c r="N14" i="3" s="1"/>
  <c r="P13" i="3"/>
  <c r="O13" i="3"/>
  <c r="N13" i="3"/>
  <c r="L13" i="3"/>
  <c r="I13" i="3"/>
  <c r="J13" i="3" s="1"/>
  <c r="P12" i="3"/>
  <c r="O12" i="3"/>
  <c r="L12" i="3"/>
  <c r="I12" i="3"/>
  <c r="N12" i="3" s="1"/>
  <c r="P11" i="3"/>
  <c r="O11" i="3"/>
  <c r="N11" i="3"/>
  <c r="L11" i="3"/>
  <c r="I11" i="3"/>
  <c r="N10" i="3"/>
  <c r="L10" i="3"/>
  <c r="O10" i="3" s="1"/>
  <c r="J10" i="3"/>
  <c r="I10" i="3"/>
  <c r="P9" i="3"/>
  <c r="O9" i="3"/>
  <c r="N9" i="3"/>
  <c r="L9" i="3"/>
  <c r="I9" i="3"/>
  <c r="J9" i="3" s="1"/>
  <c r="P8" i="3"/>
  <c r="O8" i="3"/>
  <c r="N8" i="3"/>
  <c r="L8" i="3"/>
  <c r="I8" i="3"/>
  <c r="J8" i="3" s="1"/>
  <c r="L7" i="3"/>
  <c r="I7" i="3"/>
  <c r="N7" i="3" s="1"/>
  <c r="N6" i="3"/>
  <c r="L6" i="3"/>
  <c r="O6" i="3" s="1"/>
  <c r="J6" i="3"/>
  <c r="I6" i="3"/>
  <c r="L5" i="3"/>
  <c r="I5" i="3"/>
  <c r="N5" i="3" s="1"/>
  <c r="B10" i="1"/>
  <c r="M6" i="3" s="1"/>
  <c r="B12" i="1"/>
  <c r="E219" i="2"/>
  <c r="G219" i="2" s="1"/>
  <c r="D219" i="2"/>
  <c r="F219" i="2" s="1"/>
  <c r="E218" i="2"/>
  <c r="G218" i="2" s="1"/>
  <c r="D218" i="2"/>
  <c r="F218" i="2" s="1"/>
  <c r="G217" i="2"/>
  <c r="F217" i="2"/>
  <c r="E217" i="2"/>
  <c r="D217" i="2"/>
  <c r="F216" i="2"/>
  <c r="E216" i="2"/>
  <c r="G216" i="2" s="1"/>
  <c r="D216" i="2"/>
  <c r="G215" i="2"/>
  <c r="F215" i="2"/>
  <c r="E215" i="2"/>
  <c r="D215" i="2"/>
  <c r="E214" i="2"/>
  <c r="G214" i="2" s="1"/>
  <c r="D214" i="2"/>
  <c r="F214" i="2" s="1"/>
  <c r="E213" i="2"/>
  <c r="G213" i="2" s="1"/>
  <c r="D213" i="2"/>
  <c r="F213" i="2" s="1"/>
  <c r="G212" i="2"/>
  <c r="E212" i="2"/>
  <c r="D212" i="2"/>
  <c r="F212" i="2" s="1"/>
  <c r="E211" i="2"/>
  <c r="G211" i="2" s="1"/>
  <c r="D211" i="2"/>
  <c r="F211" i="2" s="1"/>
  <c r="E210" i="2"/>
  <c r="G210" i="2" s="1"/>
  <c r="D210" i="2"/>
  <c r="F210" i="2" s="1"/>
  <c r="G209" i="2"/>
  <c r="F209" i="2"/>
  <c r="E209" i="2"/>
  <c r="D209" i="2"/>
  <c r="E208" i="2"/>
  <c r="G208" i="2" s="1"/>
  <c r="D208" i="2"/>
  <c r="F208" i="2" s="1"/>
  <c r="G207" i="2"/>
  <c r="F207" i="2"/>
  <c r="E207" i="2"/>
  <c r="D207" i="2"/>
  <c r="E206" i="2"/>
  <c r="G206" i="2" s="1"/>
  <c r="D206" i="2"/>
  <c r="F206" i="2" s="1"/>
  <c r="E205" i="2"/>
  <c r="G205" i="2" s="1"/>
  <c r="D205" i="2"/>
  <c r="F205" i="2" s="1"/>
  <c r="G204" i="2"/>
  <c r="E204" i="2"/>
  <c r="D204" i="2"/>
  <c r="F204" i="2" s="1"/>
  <c r="E203" i="2"/>
  <c r="G203" i="2" s="1"/>
  <c r="D203" i="2"/>
  <c r="F203" i="2" s="1"/>
  <c r="G202" i="2"/>
  <c r="F202" i="2"/>
  <c r="E202" i="2"/>
  <c r="D202" i="2"/>
  <c r="G201" i="2"/>
  <c r="F201" i="2"/>
  <c r="E201" i="2"/>
  <c r="D201" i="2"/>
  <c r="E200" i="2"/>
  <c r="G200" i="2" s="1"/>
  <c r="D200" i="2"/>
  <c r="F200" i="2" s="1"/>
  <c r="G199" i="2"/>
  <c r="F199" i="2"/>
  <c r="E199" i="2"/>
  <c r="D199" i="2"/>
  <c r="E198" i="2"/>
  <c r="G198" i="2" s="1"/>
  <c r="D198" i="2"/>
  <c r="F198" i="2" s="1"/>
  <c r="G197" i="2"/>
  <c r="E197" i="2"/>
  <c r="D197" i="2"/>
  <c r="F197" i="2" s="1"/>
  <c r="G196" i="2"/>
  <c r="E196" i="2"/>
  <c r="D196" i="2"/>
  <c r="F196" i="2" s="1"/>
  <c r="E195" i="2"/>
  <c r="G195" i="2" s="1"/>
  <c r="D195" i="2"/>
  <c r="F195" i="2" s="1"/>
  <c r="E194" i="2"/>
  <c r="G194" i="2" s="1"/>
  <c r="D194" i="2"/>
  <c r="F194" i="2" s="1"/>
  <c r="G193" i="2"/>
  <c r="F193" i="2"/>
  <c r="E193" i="2"/>
  <c r="D193" i="2"/>
  <c r="F192" i="2"/>
  <c r="E192" i="2"/>
  <c r="G192" i="2" s="1"/>
  <c r="D192" i="2"/>
  <c r="G191" i="2"/>
  <c r="F191" i="2"/>
  <c r="E191" i="2"/>
  <c r="D191" i="2"/>
  <c r="E190" i="2"/>
  <c r="G190" i="2" s="1"/>
  <c r="D190" i="2"/>
  <c r="F190" i="2" s="1"/>
  <c r="E189" i="2"/>
  <c r="G189" i="2" s="1"/>
  <c r="D189" i="2"/>
  <c r="F189" i="2" s="1"/>
  <c r="G188" i="2"/>
  <c r="E188" i="2"/>
  <c r="D188" i="2"/>
  <c r="F188" i="2" s="1"/>
  <c r="E187" i="2"/>
  <c r="G187" i="2" s="1"/>
  <c r="D187" i="2"/>
  <c r="F187" i="2" s="1"/>
  <c r="E186" i="2"/>
  <c r="G186" i="2" s="1"/>
  <c r="D186" i="2"/>
  <c r="F186" i="2" s="1"/>
  <c r="G185" i="2"/>
  <c r="F185" i="2"/>
  <c r="E185" i="2"/>
  <c r="D185" i="2"/>
  <c r="E184" i="2"/>
  <c r="G184" i="2" s="1"/>
  <c r="D184" i="2"/>
  <c r="F184" i="2" s="1"/>
  <c r="G183" i="2"/>
  <c r="F183" i="2"/>
  <c r="E183" i="2"/>
  <c r="D183" i="2"/>
  <c r="E182" i="2"/>
  <c r="G182" i="2" s="1"/>
  <c r="D182" i="2"/>
  <c r="F182" i="2" s="1"/>
  <c r="F181" i="2"/>
  <c r="E181" i="2"/>
  <c r="G181" i="2" s="1"/>
  <c r="D181" i="2"/>
  <c r="G180" i="2"/>
  <c r="E180" i="2"/>
  <c r="D180" i="2"/>
  <c r="F180" i="2" s="1"/>
  <c r="E179" i="2"/>
  <c r="G179" i="2" s="1"/>
  <c r="D179" i="2"/>
  <c r="F179" i="2" s="1"/>
  <c r="E178" i="2"/>
  <c r="G178" i="2" s="1"/>
  <c r="D178" i="2"/>
  <c r="F178" i="2" s="1"/>
  <c r="G177" i="2"/>
  <c r="F177" i="2"/>
  <c r="E177" i="2"/>
  <c r="D177" i="2"/>
  <c r="E176" i="2"/>
  <c r="G176" i="2" s="1"/>
  <c r="D176" i="2"/>
  <c r="F176" i="2" s="1"/>
  <c r="G175" i="2"/>
  <c r="F175" i="2"/>
  <c r="E175" i="2"/>
  <c r="D175" i="2"/>
  <c r="E174" i="2"/>
  <c r="G174" i="2" s="1"/>
  <c r="D174" i="2"/>
  <c r="F174" i="2" s="1"/>
  <c r="E173" i="2"/>
  <c r="G173" i="2" s="1"/>
  <c r="D173" i="2"/>
  <c r="F173" i="2" s="1"/>
  <c r="G172" i="2"/>
  <c r="E172" i="2"/>
  <c r="D172" i="2"/>
  <c r="F172" i="2" s="1"/>
  <c r="E171" i="2"/>
  <c r="G171" i="2" s="1"/>
  <c r="D171" i="2"/>
  <c r="F171" i="2" s="1"/>
  <c r="F170" i="2"/>
  <c r="E170" i="2"/>
  <c r="G170" i="2" s="1"/>
  <c r="D170" i="2"/>
  <c r="G169" i="2"/>
  <c r="F169" i="2"/>
  <c r="E169" i="2"/>
  <c r="D169" i="2"/>
  <c r="E168" i="2"/>
  <c r="G168" i="2" s="1"/>
  <c r="D168" i="2"/>
  <c r="F168" i="2" s="1"/>
  <c r="G167" i="2"/>
  <c r="F167" i="2"/>
  <c r="E167" i="2"/>
  <c r="D167" i="2"/>
  <c r="E166" i="2"/>
  <c r="G166" i="2" s="1"/>
  <c r="D166" i="2"/>
  <c r="F166" i="2" s="1"/>
  <c r="G165" i="2"/>
  <c r="F165" i="2"/>
  <c r="E165" i="2"/>
  <c r="D165" i="2"/>
  <c r="G164" i="2"/>
  <c r="E164" i="2"/>
  <c r="D164" i="2"/>
  <c r="F164" i="2" s="1"/>
  <c r="E163" i="2"/>
  <c r="G163" i="2" s="1"/>
  <c r="D163" i="2"/>
  <c r="F163" i="2" s="1"/>
  <c r="E162" i="2"/>
  <c r="G162" i="2" s="1"/>
  <c r="D162" i="2"/>
  <c r="F162" i="2" s="1"/>
  <c r="G161" i="2"/>
  <c r="F161" i="2"/>
  <c r="E161" i="2"/>
  <c r="D161" i="2"/>
  <c r="F160" i="2"/>
  <c r="E160" i="2"/>
  <c r="G160" i="2" s="1"/>
  <c r="D160" i="2"/>
  <c r="G159" i="2"/>
  <c r="F159" i="2"/>
  <c r="E159" i="2"/>
  <c r="D159" i="2"/>
  <c r="E158" i="2"/>
  <c r="G158" i="2" s="1"/>
  <c r="D158" i="2"/>
  <c r="F158" i="2" s="1"/>
  <c r="E157" i="2"/>
  <c r="G157" i="2" s="1"/>
  <c r="D157" i="2"/>
  <c r="F157" i="2" s="1"/>
  <c r="G156" i="2"/>
  <c r="E156" i="2"/>
  <c r="D156" i="2"/>
  <c r="F156" i="2" s="1"/>
  <c r="E155" i="2"/>
  <c r="G155" i="2" s="1"/>
  <c r="D155" i="2"/>
  <c r="F155" i="2" s="1"/>
  <c r="E154" i="2"/>
  <c r="G154" i="2" s="1"/>
  <c r="D154" i="2"/>
  <c r="F154" i="2" s="1"/>
  <c r="G153" i="2"/>
  <c r="F153" i="2"/>
  <c r="E153" i="2"/>
  <c r="D153" i="2"/>
  <c r="E152" i="2"/>
  <c r="G152" i="2" s="1"/>
  <c r="D152" i="2"/>
  <c r="F152" i="2" s="1"/>
  <c r="G151" i="2"/>
  <c r="F151" i="2"/>
  <c r="E151" i="2"/>
  <c r="D151" i="2"/>
  <c r="E150" i="2"/>
  <c r="G150" i="2" s="1"/>
  <c r="D150" i="2"/>
  <c r="F150" i="2" s="1"/>
  <c r="E149" i="2"/>
  <c r="G149" i="2" s="1"/>
  <c r="D149" i="2"/>
  <c r="F149" i="2" s="1"/>
  <c r="G148" i="2"/>
  <c r="E148" i="2"/>
  <c r="D148" i="2"/>
  <c r="F148" i="2" s="1"/>
  <c r="E147" i="2"/>
  <c r="G147" i="2" s="1"/>
  <c r="D147" i="2"/>
  <c r="F147" i="2" s="1"/>
  <c r="F146" i="2"/>
  <c r="E146" i="2"/>
  <c r="G146" i="2" s="1"/>
  <c r="D146" i="2"/>
  <c r="G145" i="2"/>
  <c r="F145" i="2"/>
  <c r="E145" i="2"/>
  <c r="D145" i="2"/>
  <c r="E144" i="2"/>
  <c r="G144" i="2" s="1"/>
  <c r="D144" i="2"/>
  <c r="F144" i="2" s="1"/>
  <c r="G143" i="2"/>
  <c r="F143" i="2"/>
  <c r="E143" i="2"/>
  <c r="D143" i="2"/>
  <c r="E142" i="2"/>
  <c r="G142" i="2" s="1"/>
  <c r="D142" i="2"/>
  <c r="F142" i="2" s="1"/>
  <c r="G141" i="2"/>
  <c r="F141" i="2"/>
  <c r="E141" i="2"/>
  <c r="D141" i="2"/>
  <c r="G140" i="2"/>
  <c r="E140" i="2"/>
  <c r="D140" i="2"/>
  <c r="F140" i="2" s="1"/>
  <c r="E139" i="2"/>
  <c r="G139" i="2" s="1"/>
  <c r="D139" i="2"/>
  <c r="F139" i="2" s="1"/>
  <c r="E138" i="2"/>
  <c r="G138" i="2" s="1"/>
  <c r="D138" i="2"/>
  <c r="F138" i="2" s="1"/>
  <c r="G137" i="2"/>
  <c r="F137" i="2"/>
  <c r="E137" i="2"/>
  <c r="D137" i="2"/>
  <c r="F136" i="2"/>
  <c r="E136" i="2"/>
  <c r="G136" i="2" s="1"/>
  <c r="D136" i="2"/>
  <c r="G135" i="2"/>
  <c r="F135" i="2"/>
  <c r="E135" i="2"/>
  <c r="D135" i="2"/>
  <c r="E134" i="2"/>
  <c r="G134" i="2" s="1"/>
  <c r="D134" i="2"/>
  <c r="F134" i="2" s="1"/>
  <c r="E133" i="2"/>
  <c r="G133" i="2" s="1"/>
  <c r="D133" i="2"/>
  <c r="F133" i="2" s="1"/>
  <c r="G132" i="2"/>
  <c r="E132" i="2"/>
  <c r="D132" i="2"/>
  <c r="F132" i="2" s="1"/>
  <c r="E131" i="2"/>
  <c r="G131" i="2" s="1"/>
  <c r="D131" i="2"/>
  <c r="F131" i="2" s="1"/>
  <c r="F130" i="2"/>
  <c r="E130" i="2"/>
  <c r="G130" i="2" s="1"/>
  <c r="D130" i="2"/>
  <c r="G129" i="2"/>
  <c r="F129" i="2"/>
  <c r="E129" i="2"/>
  <c r="D129" i="2"/>
  <c r="E128" i="2"/>
  <c r="G128" i="2" s="1"/>
  <c r="D128" i="2"/>
  <c r="F128" i="2" s="1"/>
  <c r="G127" i="2"/>
  <c r="F127" i="2"/>
  <c r="E127" i="2"/>
  <c r="D127" i="2"/>
  <c r="E126" i="2"/>
  <c r="G126" i="2" s="1"/>
  <c r="D126" i="2"/>
  <c r="F126" i="2" s="1"/>
  <c r="E125" i="2"/>
  <c r="G125" i="2" s="1"/>
  <c r="D125" i="2"/>
  <c r="F125" i="2" s="1"/>
  <c r="G124" i="2"/>
  <c r="E124" i="2"/>
  <c r="D124" i="2"/>
  <c r="F124" i="2" s="1"/>
  <c r="E123" i="2"/>
  <c r="G123" i="2" s="1"/>
  <c r="D123" i="2"/>
  <c r="F123" i="2" s="1"/>
  <c r="E122" i="2"/>
  <c r="G122" i="2" s="1"/>
  <c r="D122" i="2"/>
  <c r="F122" i="2" s="1"/>
  <c r="G121" i="2"/>
  <c r="F121" i="2"/>
  <c r="E121" i="2"/>
  <c r="D121" i="2"/>
  <c r="F120" i="2"/>
  <c r="E120" i="2"/>
  <c r="G120" i="2" s="1"/>
  <c r="D120" i="2"/>
  <c r="G119" i="2"/>
  <c r="F119" i="2"/>
  <c r="E119" i="2"/>
  <c r="D119" i="2"/>
  <c r="E118" i="2"/>
  <c r="G118" i="2" s="1"/>
  <c r="D118" i="2"/>
  <c r="F118" i="2" s="1"/>
  <c r="E117" i="2"/>
  <c r="G117" i="2" s="1"/>
  <c r="D117" i="2"/>
  <c r="F117" i="2" s="1"/>
  <c r="G116" i="2"/>
  <c r="E116" i="2"/>
  <c r="D116" i="2"/>
  <c r="F116" i="2" s="1"/>
  <c r="E115" i="2"/>
  <c r="G115" i="2" s="1"/>
  <c r="D115" i="2"/>
  <c r="F115" i="2" s="1"/>
  <c r="E114" i="2"/>
  <c r="G114" i="2" s="1"/>
  <c r="D114" i="2"/>
  <c r="F114" i="2" s="1"/>
  <c r="G113" i="2"/>
  <c r="F113" i="2"/>
  <c r="E113" i="2"/>
  <c r="D113" i="2"/>
  <c r="E112" i="2"/>
  <c r="G112" i="2" s="1"/>
  <c r="D112" i="2"/>
  <c r="F112" i="2" s="1"/>
  <c r="G111" i="2"/>
  <c r="F111" i="2"/>
  <c r="E111" i="2"/>
  <c r="D111" i="2"/>
  <c r="E110" i="2"/>
  <c r="G110" i="2" s="1"/>
  <c r="D110" i="2"/>
  <c r="F110" i="2" s="1"/>
  <c r="G109" i="2"/>
  <c r="F109" i="2"/>
  <c r="E109" i="2"/>
  <c r="D109" i="2"/>
  <c r="G108" i="2"/>
  <c r="E108" i="2"/>
  <c r="D108" i="2"/>
  <c r="F108" i="2" s="1"/>
  <c r="E107" i="2"/>
  <c r="G107" i="2" s="1"/>
  <c r="D107" i="2"/>
  <c r="F107" i="2" s="1"/>
  <c r="E106" i="2"/>
  <c r="G106" i="2" s="1"/>
  <c r="D106" i="2"/>
  <c r="F106" i="2" s="1"/>
  <c r="G105" i="2"/>
  <c r="F105" i="2"/>
  <c r="E105" i="2"/>
  <c r="D105" i="2"/>
  <c r="E104" i="2"/>
  <c r="G104" i="2" s="1"/>
  <c r="D104" i="2"/>
  <c r="F104" i="2" s="1"/>
  <c r="G103" i="2"/>
  <c r="F103" i="2"/>
  <c r="E103" i="2"/>
  <c r="D103" i="2"/>
  <c r="E102" i="2"/>
  <c r="G102" i="2" s="1"/>
  <c r="D102" i="2"/>
  <c r="F102" i="2" s="1"/>
  <c r="E101" i="2"/>
  <c r="G101" i="2" s="1"/>
  <c r="D101" i="2"/>
  <c r="F101" i="2" s="1"/>
  <c r="G100" i="2"/>
  <c r="E100" i="2"/>
  <c r="D100" i="2"/>
  <c r="F100" i="2" s="1"/>
  <c r="E99" i="2"/>
  <c r="G99" i="2" s="1"/>
  <c r="D99" i="2"/>
  <c r="F99" i="2" s="1"/>
  <c r="E98" i="2"/>
  <c r="G98" i="2" s="1"/>
  <c r="D98" i="2"/>
  <c r="F98" i="2" s="1"/>
  <c r="G97" i="2"/>
  <c r="F97" i="2"/>
  <c r="E97" i="2"/>
  <c r="D97" i="2"/>
  <c r="E96" i="2"/>
  <c r="G96" i="2" s="1"/>
  <c r="D96" i="2"/>
  <c r="F96" i="2" s="1"/>
  <c r="G95" i="2"/>
  <c r="F95" i="2"/>
  <c r="E95" i="2"/>
  <c r="D95" i="2"/>
  <c r="E94" i="2"/>
  <c r="G94" i="2" s="1"/>
  <c r="D94" i="2"/>
  <c r="F94" i="2" s="1"/>
  <c r="G93" i="2"/>
  <c r="E93" i="2"/>
  <c r="D93" i="2"/>
  <c r="F93" i="2" s="1"/>
  <c r="G92" i="2"/>
  <c r="E92" i="2"/>
  <c r="D92" i="2"/>
  <c r="F92" i="2" s="1"/>
  <c r="E91" i="2"/>
  <c r="G91" i="2" s="1"/>
  <c r="D91" i="2"/>
  <c r="F91" i="2" s="1"/>
  <c r="F90" i="2"/>
  <c r="E90" i="2"/>
  <c r="G90" i="2" s="1"/>
  <c r="D90" i="2"/>
  <c r="G89" i="2"/>
  <c r="F89" i="2"/>
  <c r="E89" i="2"/>
  <c r="D89" i="2"/>
  <c r="E88" i="2"/>
  <c r="G88" i="2" s="1"/>
  <c r="D88" i="2"/>
  <c r="F88" i="2" s="1"/>
  <c r="G87" i="2"/>
  <c r="F87" i="2"/>
  <c r="E87" i="2"/>
  <c r="D87" i="2"/>
  <c r="E86" i="2"/>
  <c r="G86" i="2" s="1"/>
  <c r="D86" i="2"/>
  <c r="F86" i="2" s="1"/>
  <c r="G85" i="2"/>
  <c r="F85" i="2"/>
  <c r="E85" i="2"/>
  <c r="D85" i="2"/>
  <c r="G84" i="2"/>
  <c r="E84" i="2"/>
  <c r="D84" i="2"/>
  <c r="F84" i="2" s="1"/>
  <c r="E83" i="2"/>
  <c r="G83" i="2" s="1"/>
  <c r="D83" i="2"/>
  <c r="F83" i="2" s="1"/>
  <c r="E82" i="2"/>
  <c r="G82" i="2" s="1"/>
  <c r="D82" i="2"/>
  <c r="F82" i="2" s="1"/>
  <c r="G81" i="2"/>
  <c r="F81" i="2"/>
  <c r="E81" i="2"/>
  <c r="D81" i="2"/>
  <c r="F80" i="2"/>
  <c r="E80" i="2"/>
  <c r="G80" i="2" s="1"/>
  <c r="D80" i="2"/>
  <c r="G79" i="2"/>
  <c r="F79" i="2"/>
  <c r="E79" i="2"/>
  <c r="D79" i="2"/>
  <c r="E78" i="2"/>
  <c r="G78" i="2" s="1"/>
  <c r="D78" i="2"/>
  <c r="F78" i="2" s="1"/>
  <c r="E77" i="2"/>
  <c r="G77" i="2" s="1"/>
  <c r="D77" i="2"/>
  <c r="F77" i="2" s="1"/>
  <c r="G76" i="2"/>
  <c r="E76" i="2"/>
  <c r="D76" i="2"/>
  <c r="F76" i="2" s="1"/>
  <c r="E75" i="2"/>
  <c r="G75" i="2" s="1"/>
  <c r="D75" i="2"/>
  <c r="F75" i="2" s="1"/>
  <c r="E74" i="2"/>
  <c r="G74" i="2" s="1"/>
  <c r="D74" i="2"/>
  <c r="F74" i="2" s="1"/>
  <c r="G73" i="2"/>
  <c r="F73" i="2"/>
  <c r="E73" i="2"/>
  <c r="D73" i="2"/>
  <c r="E72" i="2"/>
  <c r="G72" i="2" s="1"/>
  <c r="D72" i="2"/>
  <c r="F72" i="2" s="1"/>
  <c r="G71" i="2"/>
  <c r="F71" i="2"/>
  <c r="E71" i="2"/>
  <c r="D71" i="2"/>
  <c r="E70" i="2"/>
  <c r="G70" i="2" s="1"/>
  <c r="D70" i="2"/>
  <c r="F70" i="2" s="1"/>
  <c r="G69" i="2"/>
  <c r="E69" i="2"/>
  <c r="D69" i="2"/>
  <c r="F69" i="2" s="1"/>
  <c r="G68" i="2"/>
  <c r="E68" i="2"/>
  <c r="D68" i="2"/>
  <c r="F68" i="2" s="1"/>
  <c r="E67" i="2"/>
  <c r="G67" i="2" s="1"/>
  <c r="D67" i="2"/>
  <c r="F67" i="2" s="1"/>
  <c r="E66" i="2"/>
  <c r="G66" i="2" s="1"/>
  <c r="D66" i="2"/>
  <c r="F66" i="2" s="1"/>
  <c r="G65" i="2"/>
  <c r="F65" i="2"/>
  <c r="E65" i="2"/>
  <c r="D65" i="2"/>
  <c r="E64" i="2"/>
  <c r="G64" i="2" s="1"/>
  <c r="D64" i="2"/>
  <c r="F64" i="2" s="1"/>
  <c r="G63" i="2"/>
  <c r="F63" i="2"/>
  <c r="E63" i="2"/>
  <c r="D63" i="2"/>
  <c r="E62" i="2"/>
  <c r="G62" i="2" s="1"/>
  <c r="D62" i="2"/>
  <c r="F62" i="2" s="1"/>
  <c r="E61" i="2"/>
  <c r="G61" i="2" s="1"/>
  <c r="D61" i="2"/>
  <c r="F61" i="2" s="1"/>
  <c r="G60" i="2"/>
  <c r="E60" i="2"/>
  <c r="D60" i="2"/>
  <c r="F60" i="2" s="1"/>
  <c r="E59" i="2"/>
  <c r="G59" i="2" s="1"/>
  <c r="D59" i="2"/>
  <c r="F59" i="2" s="1"/>
  <c r="G58" i="2"/>
  <c r="E58" i="2"/>
  <c r="D58" i="2"/>
  <c r="F58" i="2" s="1"/>
  <c r="G57" i="2"/>
  <c r="F57" i="2"/>
  <c r="E57" i="2"/>
  <c r="B10" i="6" s="1"/>
  <c r="B13" i="6" s="1"/>
  <c r="D57" i="2"/>
  <c r="E56" i="2"/>
  <c r="G56" i="2" s="1"/>
  <c r="D56" i="2"/>
  <c r="F56" i="2" s="1"/>
  <c r="G55" i="2"/>
  <c r="F55" i="2"/>
  <c r="E55" i="2"/>
  <c r="D55" i="2"/>
  <c r="E54" i="2"/>
  <c r="G54" i="2" s="1"/>
  <c r="D54" i="2"/>
  <c r="F54" i="2" s="1"/>
  <c r="G53" i="2"/>
  <c r="E53" i="2"/>
  <c r="D53" i="2"/>
  <c r="F53" i="2" s="1"/>
  <c r="G52" i="2"/>
  <c r="E52" i="2"/>
  <c r="D52" i="2"/>
  <c r="F52" i="2" s="1"/>
  <c r="E51" i="2"/>
  <c r="G51" i="2" s="1"/>
  <c r="D51" i="2"/>
  <c r="F51" i="2" s="1"/>
  <c r="F50" i="2"/>
  <c r="E50" i="2"/>
  <c r="G50" i="2" s="1"/>
  <c r="D50" i="2"/>
  <c r="G49" i="2"/>
  <c r="F49" i="2"/>
  <c r="E49" i="2"/>
  <c r="D49" i="2"/>
  <c r="E48" i="2"/>
  <c r="G48" i="2" s="1"/>
  <c r="D48" i="2"/>
  <c r="F48" i="2" s="1"/>
  <c r="G47" i="2"/>
  <c r="F47" i="2"/>
  <c r="E47" i="2"/>
  <c r="D47" i="2"/>
  <c r="E46" i="2"/>
  <c r="G46" i="2" s="1"/>
  <c r="D46" i="2"/>
  <c r="F46" i="2" s="1"/>
  <c r="G45" i="2"/>
  <c r="F45" i="2"/>
  <c r="E45" i="2"/>
  <c r="D45" i="2"/>
  <c r="G44" i="2"/>
  <c r="E44" i="2"/>
  <c r="D44" i="2"/>
  <c r="F44" i="2" s="1"/>
  <c r="E43" i="2"/>
  <c r="G43" i="2" s="1"/>
  <c r="D43" i="2"/>
  <c r="F43" i="2" s="1"/>
  <c r="E42" i="2"/>
  <c r="G42" i="2" s="1"/>
  <c r="D42" i="2"/>
  <c r="F42" i="2" s="1"/>
  <c r="G41" i="2"/>
  <c r="F41" i="2"/>
  <c r="E41" i="2"/>
  <c r="D41" i="2"/>
  <c r="F40" i="2"/>
  <c r="E40" i="2"/>
  <c r="G40" i="2" s="1"/>
  <c r="D40" i="2"/>
  <c r="G39" i="2"/>
  <c r="F39" i="2"/>
  <c r="E39" i="2"/>
  <c r="D39" i="2"/>
  <c r="E38" i="2"/>
  <c r="G38" i="2" s="1"/>
  <c r="D38" i="2"/>
  <c r="F38" i="2" s="1"/>
  <c r="E37" i="2"/>
  <c r="G37" i="2" s="1"/>
  <c r="D37" i="2"/>
  <c r="F37" i="2" s="1"/>
  <c r="G36" i="2"/>
  <c r="E36" i="2"/>
  <c r="D36" i="2"/>
  <c r="F36" i="2" s="1"/>
  <c r="E35" i="2"/>
  <c r="G35" i="2" s="1"/>
  <c r="D35" i="2"/>
  <c r="F35" i="2" s="1"/>
  <c r="E34" i="2"/>
  <c r="G34" i="2" s="1"/>
  <c r="D34" i="2"/>
  <c r="F34" i="2" s="1"/>
  <c r="F33" i="2"/>
  <c r="E33" i="2"/>
  <c r="G33" i="2" s="1"/>
  <c r="D33" i="2"/>
  <c r="E32" i="2"/>
  <c r="G32" i="2" s="1"/>
  <c r="D32" i="2"/>
  <c r="F32" i="2" s="1"/>
  <c r="G31" i="2"/>
  <c r="F31" i="2"/>
  <c r="E31" i="2"/>
  <c r="D31" i="2"/>
  <c r="E30" i="2"/>
  <c r="G30" i="2" s="1"/>
  <c r="D30" i="2"/>
  <c r="F30" i="2" s="1"/>
  <c r="G29" i="2"/>
  <c r="F29" i="2"/>
  <c r="E29" i="2"/>
  <c r="D29" i="2"/>
  <c r="G28" i="2"/>
  <c r="E28" i="2"/>
  <c r="D28" i="2"/>
  <c r="F28" i="2" s="1"/>
  <c r="E27" i="2"/>
  <c r="G27" i="2" s="1"/>
  <c r="D27" i="2"/>
  <c r="F27" i="2" s="1"/>
  <c r="E26" i="2"/>
  <c r="G26" i="2" s="1"/>
  <c r="D26" i="2"/>
  <c r="F26" i="2" s="1"/>
  <c r="G25" i="2"/>
  <c r="F25" i="2"/>
  <c r="E25" i="2"/>
  <c r="D25" i="2"/>
  <c r="F24" i="2"/>
  <c r="E24" i="2"/>
  <c r="G24" i="2" s="1"/>
  <c r="D24" i="2"/>
  <c r="G23" i="2"/>
  <c r="F23" i="2"/>
  <c r="E23" i="2"/>
  <c r="D23" i="2"/>
  <c r="E22" i="2"/>
  <c r="G22" i="2" s="1"/>
  <c r="D22" i="2"/>
  <c r="F22" i="2" s="1"/>
  <c r="E21" i="2"/>
  <c r="G21" i="2" s="1"/>
  <c r="D21" i="2"/>
  <c r="F21" i="2" s="1"/>
  <c r="G20" i="2"/>
  <c r="E20" i="2"/>
  <c r="D20" i="2"/>
  <c r="F20" i="2" s="1"/>
  <c r="E19" i="2"/>
  <c r="G19" i="2" s="1"/>
  <c r="D19" i="2"/>
  <c r="F19" i="2" s="1"/>
  <c r="E18" i="2"/>
  <c r="G18" i="2" s="1"/>
  <c r="D18" i="2"/>
  <c r="F18" i="2" s="1"/>
  <c r="E17" i="2"/>
  <c r="G17" i="2" s="1"/>
  <c r="D17" i="2"/>
  <c r="F17" i="2" s="1"/>
  <c r="E16" i="2"/>
  <c r="G16" i="2" s="1"/>
  <c r="D16" i="2"/>
  <c r="F16" i="2" s="1"/>
  <c r="G15" i="2"/>
  <c r="F15" i="2"/>
  <c r="E15" i="2"/>
  <c r="D15" i="2"/>
  <c r="E14" i="2"/>
  <c r="G14" i="2" s="1"/>
  <c r="D14" i="2"/>
  <c r="F14" i="2" s="1"/>
  <c r="E13" i="2"/>
  <c r="G13" i="2" s="1"/>
  <c r="D13" i="2"/>
  <c r="F13" i="2" s="1"/>
  <c r="G12" i="2"/>
  <c r="E12" i="2"/>
  <c r="D12" i="2"/>
  <c r="F12" i="2" s="1"/>
  <c r="E11" i="2"/>
  <c r="G11" i="2" s="1"/>
  <c r="D11" i="2"/>
  <c r="F11" i="2" s="1"/>
  <c r="G10" i="2"/>
  <c r="F10" i="2"/>
  <c r="E10" i="2"/>
  <c r="D10" i="2"/>
  <c r="G9" i="2"/>
  <c r="E9" i="2"/>
  <c r="D9" i="2"/>
  <c r="F9" i="2" s="1"/>
  <c r="E8" i="2"/>
  <c r="G8" i="2" s="1"/>
  <c r="D8" i="2"/>
  <c r="F8" i="2" s="1"/>
  <c r="G7" i="2"/>
  <c r="F7" i="2"/>
  <c r="E7" i="2"/>
  <c r="D7" i="2"/>
  <c r="E6" i="2"/>
  <c r="G6" i="2" s="1"/>
  <c r="D6" i="2"/>
  <c r="F6" i="2" s="1"/>
  <c r="E5" i="2"/>
  <c r="G5" i="2" s="1"/>
  <c r="D5" i="2"/>
  <c r="F5" i="2" s="1"/>
  <c r="G4" i="2"/>
  <c r="E4" i="2"/>
  <c r="D4" i="2"/>
  <c r="F4" i="2" s="1"/>
  <c r="M8" i="5" l="1"/>
  <c r="N19" i="5"/>
  <c r="M11" i="5"/>
  <c r="H6" i="4"/>
  <c r="H9" i="4"/>
  <c r="G12" i="4"/>
  <c r="G20" i="4"/>
  <c r="H22" i="4"/>
  <c r="G8" i="4"/>
  <c r="G22" i="4"/>
  <c r="M22" i="3"/>
  <c r="M10" i="3"/>
  <c r="Q10" i="3" s="1"/>
  <c r="T10" i="3" s="1"/>
  <c r="U10" i="3" s="1"/>
  <c r="M11" i="3"/>
  <c r="Q11" i="3" s="1"/>
  <c r="T11" i="3" s="1"/>
  <c r="U11" i="3" s="1"/>
  <c r="H5" i="4"/>
  <c r="H10" i="4"/>
  <c r="H23" i="4"/>
  <c r="I11" i="4"/>
  <c r="K11" i="4" s="1"/>
  <c r="L11" i="4" s="1"/>
  <c r="H19" i="4"/>
  <c r="H24" i="4"/>
  <c r="M13" i="3"/>
  <c r="Q13" i="3" s="1"/>
  <c r="T13" i="3" s="1"/>
  <c r="U13" i="3" s="1"/>
  <c r="M8" i="3"/>
  <c r="Q8" i="3" s="1"/>
  <c r="T8" i="3" s="1"/>
  <c r="U8" i="3" s="1"/>
  <c r="H8" i="4"/>
  <c r="I21" i="4"/>
  <c r="K21" i="4" s="1"/>
  <c r="L21" i="4" s="1"/>
  <c r="M9" i="3"/>
  <c r="Q9" i="3" s="1"/>
  <c r="T9" i="3" s="1"/>
  <c r="U9" i="3" s="1"/>
  <c r="B31" i="4"/>
  <c r="H7" i="4"/>
  <c r="G9" i="4"/>
  <c r="M18" i="5"/>
  <c r="N18" i="5"/>
  <c r="N10" i="5"/>
  <c r="M10" i="5"/>
  <c r="N14" i="5"/>
  <c r="M14" i="5"/>
  <c r="N22" i="5"/>
  <c r="M22" i="5"/>
  <c r="N6" i="5"/>
  <c r="M6" i="5"/>
  <c r="M15" i="5"/>
  <c r="O23" i="3"/>
  <c r="Q23" i="3"/>
  <c r="T23" i="3" s="1"/>
  <c r="U23" i="3" s="1"/>
  <c r="P23" i="3"/>
  <c r="H20" i="4"/>
  <c r="I20" i="4"/>
  <c r="K20" i="4" s="1"/>
  <c r="L20" i="4" s="1"/>
  <c r="P22" i="3"/>
  <c r="N9" i="5"/>
  <c r="M9" i="5"/>
  <c r="N20" i="5"/>
  <c r="J7" i="3"/>
  <c r="M7" i="3"/>
  <c r="Q7" i="3" s="1"/>
  <c r="T7" i="3" s="1"/>
  <c r="U7" i="3" s="1"/>
  <c r="Q38" i="3"/>
  <c r="T38" i="3" s="1"/>
  <c r="U38" i="3" s="1"/>
  <c r="P38" i="3"/>
  <c r="J18" i="3"/>
  <c r="I12" i="4"/>
  <c r="K12" i="4" s="1"/>
  <c r="L12" i="4" s="1"/>
  <c r="H12" i="4"/>
  <c r="P18" i="3"/>
  <c r="O18" i="3"/>
  <c r="I17" i="4"/>
  <c r="K17" i="4" s="1"/>
  <c r="L17" i="4" s="1"/>
  <c r="H17" i="4"/>
  <c r="M18" i="3"/>
  <c r="Q18" i="3" s="1"/>
  <c r="T18" i="3" s="1"/>
  <c r="U18" i="3" s="1"/>
  <c r="O38" i="3"/>
  <c r="N5" i="5"/>
  <c r="M5" i="5"/>
  <c r="L25" i="5"/>
  <c r="J37" i="3"/>
  <c r="O7" i="3"/>
  <c r="P7" i="3"/>
  <c r="O39" i="3"/>
  <c r="Q39" i="3"/>
  <c r="T39" i="3" s="1"/>
  <c r="U39" i="3" s="1"/>
  <c r="P39" i="3"/>
  <c r="I15" i="4"/>
  <c r="K15" i="4" s="1"/>
  <c r="L15" i="4" s="1"/>
  <c r="H15" i="4"/>
  <c r="J32" i="3"/>
  <c r="I16" i="4"/>
  <c r="K16" i="4" s="1"/>
  <c r="L16" i="4" s="1"/>
  <c r="H16" i="4"/>
  <c r="P5" i="3"/>
  <c r="P35" i="3"/>
  <c r="O35" i="3"/>
  <c r="K5" i="4"/>
  <c r="N13" i="5"/>
  <c r="M13" i="5"/>
  <c r="M24" i="5"/>
  <c r="M5" i="3"/>
  <c r="Q5" i="3" s="1"/>
  <c r="T5" i="3" s="1"/>
  <c r="U5" i="3" s="1"/>
  <c r="J21" i="3"/>
  <c r="P26" i="3"/>
  <c r="Q26" i="3"/>
  <c r="T26" i="3" s="1"/>
  <c r="U26" i="3" s="1"/>
  <c r="J19" i="3"/>
  <c r="M19" i="3"/>
  <c r="J34" i="3"/>
  <c r="H13" i="4"/>
  <c r="N23" i="5"/>
  <c r="H18" i="4"/>
  <c r="N15" i="3"/>
  <c r="M15" i="3"/>
  <c r="J35" i="3"/>
  <c r="P21" i="3"/>
  <c r="Q35" i="3"/>
  <c r="T35" i="3" s="1"/>
  <c r="U35" i="3" s="1"/>
  <c r="M7" i="5"/>
  <c r="J25" i="5"/>
  <c r="P6" i="3"/>
  <c r="Q6" i="3" s="1"/>
  <c r="T6" i="3" s="1"/>
  <c r="U6" i="3" s="1"/>
  <c r="O22" i="3"/>
  <c r="J23" i="3"/>
  <c r="M20" i="3"/>
  <c r="Q20" i="3" s="1"/>
  <c r="T20" i="3" s="1"/>
  <c r="U20" i="3" s="1"/>
  <c r="N20" i="3"/>
  <c r="F25" i="4"/>
  <c r="M12" i="5"/>
  <c r="J5" i="3"/>
  <c r="O5" i="3"/>
  <c r="P37" i="3"/>
  <c r="Q37" i="3"/>
  <c r="T37" i="3" s="1"/>
  <c r="U37" i="3" s="1"/>
  <c r="N17" i="5"/>
  <c r="M17" i="5"/>
  <c r="G5" i="4"/>
  <c r="P10" i="3"/>
  <c r="M21" i="3"/>
  <c r="Q21" i="3" s="1"/>
  <c r="T21" i="3" s="1"/>
  <c r="U21" i="3" s="1"/>
  <c r="O26" i="3"/>
  <c r="N21" i="5"/>
  <c r="M21" i="5"/>
  <c r="J39" i="3"/>
  <c r="P19" i="3"/>
  <c r="O19" i="3"/>
  <c r="Q34" i="3"/>
  <c r="T34" i="3" s="1"/>
  <c r="U34" i="3" s="1"/>
  <c r="P34" i="3"/>
  <c r="O34" i="3"/>
  <c r="B15" i="6"/>
  <c r="B14" i="6"/>
  <c r="N16" i="3"/>
  <c r="M16" i="3"/>
  <c r="Q16" i="3" s="1"/>
  <c r="T16" i="3" s="1"/>
  <c r="U16" i="3" s="1"/>
  <c r="J12" i="3"/>
  <c r="J28" i="3"/>
  <c r="M12" i="3"/>
  <c r="Q12" i="3" s="1"/>
  <c r="T12" i="3" s="1"/>
  <c r="U12" i="3" s="1"/>
  <c r="O15" i="3"/>
  <c r="O31" i="3"/>
  <c r="J17" i="3"/>
  <c r="J14" i="3"/>
  <c r="M17" i="3"/>
  <c r="Q17" i="3" s="1"/>
  <c r="T17" i="3" s="1"/>
  <c r="U17" i="3" s="1"/>
  <c r="O20" i="3"/>
  <c r="J30" i="3"/>
  <c r="O36" i="3"/>
  <c r="P20" i="3"/>
  <c r="N33" i="3"/>
  <c r="P36" i="3"/>
  <c r="J11" i="3"/>
  <c r="M14" i="3"/>
  <c r="Q14" i="3" s="1"/>
  <c r="T14" i="3" s="1"/>
  <c r="U14" i="3" s="1"/>
  <c r="O17" i="3"/>
  <c r="O33" i="3"/>
  <c r="H14" i="4"/>
  <c r="P33" i="3"/>
  <c r="P17" i="3"/>
  <c r="Q19" i="3" l="1"/>
  <c r="T19" i="3" s="1"/>
  <c r="U19" i="3" s="1"/>
  <c r="Q22" i="3"/>
  <c r="T22" i="3" s="1"/>
  <c r="U22" i="3" s="1"/>
  <c r="G25" i="4"/>
  <c r="H25" i="4"/>
  <c r="I25" i="4"/>
  <c r="K25" i="4"/>
  <c r="L5" i="4"/>
  <c r="L25" i="4" s="1"/>
  <c r="B30" i="4" s="1"/>
  <c r="Q15" i="3"/>
  <c r="T15" i="3" s="1"/>
  <c r="U15" i="3" s="1"/>
  <c r="M25" i="5"/>
  <c r="N25" i="5"/>
  <c r="B29" i="4" l="1"/>
  <c r="B28" i="4"/>
  <c r="B36" i="4" s="1"/>
  <c r="B34" i="4" l="1"/>
  <c r="B35" i="4" s="1"/>
  <c r="B32" i="4"/>
  <c r="B33" i="4" s="1"/>
</calcChain>
</file>

<file path=xl/sharedStrings.xml><?xml version="1.0" encoding="utf-8"?>
<sst xmlns="http://schemas.openxmlformats.org/spreadsheetml/2006/main" count="244" uniqueCount="197">
  <si>
    <t>⚙  CONFIGURACIÓN — Tasas y costos logísticos</t>
  </si>
  <si>
    <t>TASAS DE CAMBIO</t>
  </si>
  <si>
    <t>INR por 1 USD</t>
  </si>
  <si>
    <t>₹/USD</t>
  </si>
  <si>
    <t>Rupia india — actualizar según XE.com</t>
  </si>
  <si>
    <t>Bs.D por 1 USD</t>
  </si>
  <si>
    <t>Bs.D/USD</t>
  </si>
  <si>
    <t>BCV o paralelo</t>
  </si>
  <si>
    <t>SHOPPRE — ENVÍO INDIA→USA (DUTY FREE)</t>
  </si>
  <si>
    <t>¿Miembro Shoppre?</t>
  </si>
  <si>
    <t>Sí / No</t>
  </si>
  <si>
    <t>Marca la casilla si eres miembro Shoppre (tarifa con descuento). Sin marcar = tarifa normal.</t>
  </si>
  <si>
    <t>Peso de referencia Catálogo (kg)</t>
  </si>
  <si>
    <t>kg</t>
  </si>
  <si>
    <t>Peso típico que usas para FIJAR los precios del catálogo. No cambia aunque calcules envíos reales.</t>
  </si>
  <si>
    <t>$/kg referencia Catálogo (auto)</t>
  </si>
  <si>
    <t>USD/kg</t>
  </si>
  <si>
    <t>Reparte el envío por ítem en Catálogo, Calculadora y Próximo Pedido.</t>
  </si>
  <si>
    <t>Peso del envío actual (kg)</t>
  </si>
  <si>
    <t>Kilos de UN envío puntual que quieras cotizar. Independiente del catálogo (0.5 a 22 kg).</t>
  </si>
  <si>
    <t>Costo Duty Free del envío ($)</t>
  </si>
  <si>
    <t>USD</t>
  </si>
  <si>
    <t>Precio real de la tabla a ese peso. Para varios paquetes usa el Simulador.</t>
  </si>
  <si>
    <t>OTROS COSTOS LOGÍSTICOS</t>
  </si>
  <si>
    <t>Miami → Caracas (Marítimo)</t>
  </si>
  <si>
    <t>USD/ft³</t>
  </si>
  <si>
    <t>Marítimo por pie cúbico. Actualizar con tarifa real del casillero.</t>
  </si>
  <si>
    <t>Seguro Shoppre (% sobre declarado)</t>
  </si>
  <si>
    <t>%</t>
  </si>
  <si>
    <t>3% del valor declarado. Se aplica una vez en Próximo Pedido.</t>
  </si>
  <si>
    <t>Processing fee Shoppre (fijo)</t>
  </si>
  <si>
    <t>INR</t>
  </si>
  <si>
    <t>₹500 fijos por envío consolidado.</t>
  </si>
  <si>
    <t>Seguro Marítimo Miami→CCS (%)</t>
  </si>
  <si>
    <t>% del valor. Dejar en 0 si no aplica.</t>
  </si>
  <si>
    <t>SENIAT — ADUANA VENEZUELA</t>
  </si>
  <si>
    <t>Umbral libre de impuesto (USD)</t>
  </si>
  <si>
    <t>Valor declarado bajo el cual no paga SENIAT. 0 si no aplica.</t>
  </si>
  <si>
    <t>Tasa SENIAT sobre umbral (%)</t>
  </si>
  <si>
    <t>% sobre el declarado cuando supera el umbral. 0 si no aplica.</t>
  </si>
  <si>
    <t>LEYENDA DE COLORES</t>
  </si>
  <si>
    <t xml:space="preserve">  ▉</t>
  </si>
  <si>
    <t>Azul → Dato de entrada (editar libremente)</t>
  </si>
  <si>
    <t>Negro → Fórmula calculada (no editar)</t>
  </si>
  <si>
    <t>Amarillo → Celdas clave: membresía, peso de referencia y peso de envío</t>
  </si>
  <si>
    <t>🚚  TARIFAS SHOPPRE — ShipGlobal Duty Free (India → USA)</t>
  </si>
  <si>
    <t>Tarifa Duty Free real (arancel USA incluido por Shoppre). Hasta 22 kg. Costo por kilo para member (con descuento) y normal (basic). El check de membresía en Configuración decide cuál usan los cálculos. Shoppre cobra por slab de 0.1 kg redondeando hacia arriba.</t>
  </si>
  <si>
    <t>Peso (kg)</t>
  </si>
  <si>
    <t>INR basic</t>
  </si>
  <si>
    <t>INR member</t>
  </si>
  <si>
    <t>USD basic ($)</t>
  </si>
  <si>
    <t>USD member ($)</t>
  </si>
  <si>
    <t>$/kg basic</t>
  </si>
  <si>
    <t>$/kg member</t>
  </si>
  <si>
    <t>📦  CATÁLOGO DE PRODUCTOS — Pulsar N250</t>
  </si>
  <si>
    <t>Registra cada pieza con peso y medidas. Desde aquí se añade directo a la Calculadora.</t>
  </si>
  <si>
    <t>Producto</t>
  </si>
  <si>
    <t>Código</t>
  </si>
  <si>
    <t>Motos compatibles</t>
  </si>
  <si>
    <t>Categoría</t>
  </si>
  <si>
    <t>Peso real
(gramos)</t>
  </si>
  <si>
    <t>L (cm)</t>
  </si>
  <si>
    <t>A (cm)</t>
  </si>
  <si>
    <t>H (cm)</t>
  </si>
  <si>
    <t>Vol. L×A×H
(cm³)</t>
  </si>
  <si>
    <t>Peso Volumetrico</t>
  </si>
  <si>
    <t>Precio India
(INR ₹)</t>
  </si>
  <si>
    <t>Costo
($)</t>
  </si>
  <si>
    <t>Envío
India→USA ($)</t>
  </si>
  <si>
    <t>Envío
USA→CCS ($)</t>
  </si>
  <si>
    <t>Seguro
Shoppre ($)</t>
  </si>
  <si>
    <t>Seguro
Miami→CCS ($)</t>
  </si>
  <si>
    <t>Costo total
landed ($)</t>
  </si>
  <si>
    <t>Notas / variantes</t>
  </si>
  <si>
    <t>Margen
(%)</t>
  </si>
  <si>
    <t>Precio venta
($)</t>
  </si>
  <si>
    <t>Ganancia
($)</t>
  </si>
  <si>
    <t>Kit cadena (cadena + 2 catarinas)</t>
  </si>
  <si>
    <t>36JR0033</t>
  </si>
  <si>
    <t>Pulsar N250(a)</t>
  </si>
  <si>
    <t>Transmisión</t>
  </si>
  <si>
    <t>Kit Chain Sprocket — chain 428 + corona trasera + piñón delantero. Peso medido real.</t>
  </si>
  <si>
    <t>Bujía NGK (x1)</t>
  </si>
  <si>
    <t>JL351218</t>
  </si>
  <si>
    <t>Pulsar N250</t>
  </si>
  <si>
    <t>Mantenimiento</t>
  </si>
  <si>
    <t>Plug Spark — también ref JL351217. Incluir en regalos/kits, no vender sola.</t>
  </si>
  <si>
    <t>Bujía Bosch RG6HCC (x1)</t>
  </si>
  <si>
    <t>DK111028</t>
  </si>
  <si>
    <t>Spark Plug RG6HCC — también ref DT351206.</t>
  </si>
  <si>
    <t>Filtro aire (kit elemento + sello)</t>
  </si>
  <si>
    <t>36JR0043</t>
  </si>
  <si>
    <t>Pulsar N250/N160</t>
  </si>
  <si>
    <t>Kit Air Filter Element + Seal — completo.</t>
  </si>
  <si>
    <t>Filtro aceite (x1)</t>
  </si>
  <si>
    <t>JG571014</t>
  </si>
  <si>
    <t>Pulsar N250/N160/NS200/D400</t>
  </si>
  <si>
    <t>Oil Filter + O-Ring LJA00022. Usar como regalo en pedidos grandes.El O-ring solo sirve para N250 y N160</t>
  </si>
  <si>
    <t>Empaque tapa valvulas</t>
  </si>
  <si>
    <t>PD511096</t>
  </si>
  <si>
    <t>Motor</t>
  </si>
  <si>
    <t>Gasket Cover Head Cylinder — pieza pequeña, incluir en kits de mantenimiento mayor.</t>
  </si>
  <si>
    <t>Pastillas freno delantero</t>
  </si>
  <si>
    <t>JR131827</t>
  </si>
  <si>
    <t>Frenos</t>
  </si>
  <si>
    <t>Pad Set Brake Front.</t>
  </si>
  <si>
    <t>Pastillas freno trasero</t>
  </si>
  <si>
    <t>36DH4174</t>
  </si>
  <si>
    <t>Disc Pad Set Rear Caliper Endu.</t>
  </si>
  <si>
    <t>Cable embrague</t>
  </si>
  <si>
    <t>JR161206</t>
  </si>
  <si>
    <t>Cables</t>
  </si>
  <si>
    <t>Cable Clutch.</t>
  </si>
  <si>
    <t>Kit cadena</t>
  </si>
  <si>
    <t>JR161207</t>
  </si>
  <si>
    <t>N160</t>
  </si>
  <si>
    <t>Kit de cadena N160</t>
  </si>
  <si>
    <t>Bomba de freno maestro</t>
  </si>
  <si>
    <t>JR131882</t>
  </si>
  <si>
    <t>N250</t>
  </si>
  <si>
    <t>Kit bujias</t>
  </si>
  <si>
    <t>DG111008</t>
  </si>
  <si>
    <t>Neon 150</t>
  </si>
  <si>
    <t>Filtro de gasolina</t>
  </si>
  <si>
    <t>n250</t>
  </si>
  <si>
    <t>Tapa belly RH</t>
  </si>
  <si>
    <t xml:space="preserve">52JR0131   </t>
  </si>
  <si>
    <t>Tapas</t>
  </si>
  <si>
    <t>Lockset</t>
  </si>
  <si>
    <t>36JR0125</t>
  </si>
  <si>
    <t>Switchera</t>
  </si>
  <si>
    <t>Spark plug cap</t>
  </si>
  <si>
    <t>DH111015</t>
  </si>
  <si>
    <t>Electrico</t>
  </si>
  <si>
    <t>Sensores 3 en 1</t>
  </si>
  <si>
    <t>36DP0112</t>
  </si>
  <si>
    <t>Sensores</t>
  </si>
  <si>
    <t>TPS,  MAP sensor o MAT, IAT</t>
  </si>
  <si>
    <t>Tacometro</t>
  </si>
  <si>
    <t>JR402412</t>
  </si>
  <si>
    <t>🛒  PRÓXIMO PEDIDO — Armar y calcular antes de comprar</t>
  </si>
  <si>
    <t>Pega el nombre del producto igual que en Catálogo para que el BUSCARV traiga peso y precio automático.</t>
  </si>
  <si>
    <t>Producto
(igual que Catálogo)</t>
  </si>
  <si>
    <t>Cant.</t>
  </si>
  <si>
    <t>Precio INR
(auto)</t>
  </si>
  <si>
    <t>Peso g
(auto)</t>
  </si>
  <si>
    <t>Vol cm³
(auto)</t>
  </si>
  <si>
    <t>Peso fact.
(kg)</t>
  </si>
  <si>
    <t>Envío
($)</t>
  </si>
  <si>
    <t>Costo total
($)</t>
  </si>
  <si>
    <t>Cliente</t>
  </si>
  <si>
    <t>TOTALES</t>
  </si>
  <si>
    <t>RESUMEN DEL ENVÍO</t>
  </si>
  <si>
    <t>Peso facturable total (kg)</t>
  </si>
  <si>
    <t>Valor total mercancía (USD)</t>
  </si>
  <si>
    <t>Ganancia total estimada</t>
  </si>
  <si>
    <t>Margen promedio</t>
  </si>
  <si>
    <t>Valor declarado total (USD)</t>
  </si>
  <si>
    <t>Base para calcular seguro — valor FOB total de la mercancía</t>
  </si>
  <si>
    <t>Seguro Shoppre (3% declarado)</t>
  </si>
  <si>
    <t>3% × valor declarado</t>
  </si>
  <si>
    <t>₹500 ÷ tasa INR — cargo fijo por envío</t>
  </si>
  <si>
    <t>Total costos del envío (con seguro)</t>
  </si>
  <si>
    <t>Seguro + processing fee — sumar al costo total del pedido</t>
  </si>
  <si>
    <t>Envío real Duty Free (tabla, peso total)</t>
  </si>
  <si>
    <t>Costo Duty Free real del peso total. Úsalo para verificar la suma por ítem.</t>
  </si>
  <si>
    <t>🏍  CALCULADORA DE PRECIOS — India → Miami → Caracas</t>
  </si>
  <si>
    <t>Ruta: 99rpm / Boodmo  →  Shoppre + FedEx  →  Miami  →  Liberty Express  →  Caracas</t>
  </si>
  <si>
    <t>Precio India
(USD $)</t>
  </si>
  <si>
    <t>Valor
declarado ($)</t>
  </si>
  <si>
    <t>Envío total
($)</t>
  </si>
  <si>
    <t>SENIAT
($)</t>
  </si>
  <si>
    <t>Precio venta
(Bs.D)</t>
  </si>
  <si>
    <t>TOTALES / PROMEDIO</t>
  </si>
  <si>
    <t>📦  SIMULADOR DE ENVÍO CONSOLIDADO</t>
  </si>
  <si>
    <t>DATOS DEL ENVÍO</t>
  </si>
  <si>
    <t>Número de clientes</t>
  </si>
  <si>
    <t>Clientes en este envío</t>
  </si>
  <si>
    <t>Peso total (kg)</t>
  </si>
  <si>
    <t>Suma de todos los paquetes</t>
  </si>
  <si>
    <t>Valor total mercancía</t>
  </si>
  <si>
    <t>FOB India — para seguro</t>
  </si>
  <si>
    <t>Valor declarado total</t>
  </si>
  <si>
    <t>Lo que se declara en aduana</t>
  </si>
  <si>
    <t>Volumen total del envío</t>
  </si>
  <si>
    <t>ft³</t>
  </si>
  <si>
    <t>Suma volúmenes (L×A×H cm³) ÷ 28317 por ítem — o medir cajas directamente</t>
  </si>
  <si>
    <t>COSTOS DEL ENVÍO</t>
  </si>
  <si>
    <t>Envío India → Miami (Duty Free)</t>
  </si>
  <si>
    <t>Costo Duty Free real del peso total (tabla Tarifas Shoppre). Arancel USA ya incluido.</t>
  </si>
  <si>
    <t>Envío Miami → Caracas</t>
  </si>
  <si>
    <t>SENIAT</t>
  </si>
  <si>
    <t>Aduana Venezuela según umbral/tasa en Configuración.</t>
  </si>
  <si>
    <t>Costo logístico total</t>
  </si>
  <si>
    <t>Costo por kg (tramo India→Miami)</t>
  </si>
  <si>
    <t>Costo por cliente (avg)</t>
  </si>
  <si>
    <t>USD/cliente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</si>
</sst>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;;;"/>
    <numFmt numFmtId="165" formatCode="0.0"/>
    <numFmt numFmtId="166" formatCode="\$#,##0.00"/>
    <numFmt numFmtId="167" formatCode="0.0%"/>
    <numFmt numFmtId="168" formatCode="\$#,##0"/>
    <numFmt numFmtId="169" formatCode="#,##0&quot; g&quot;"/>
    <numFmt numFmtId="170" formatCode="#,##0&quot; cm³&quot;"/>
    <numFmt numFmtId="171" formatCode="0.000&quot; kg&quot;"/>
    <numFmt numFmtId="172" formatCode="\₹#,##0"/>
    <numFmt numFmtId="173" formatCode="0.000"/>
    <numFmt numFmtId="174" formatCode="#,##0&quot; Bs.D&quot;"/>
  </numFmts>
  <fonts count="28">
    <font>
      <sz val="11"/>
      <color theme="1"/>
      <name val="Calibri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color rgb="FF666666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BF9000"/>
      <name val="Arial"/>
      <charset val="1"/>
    </font>
    <font>
      <b/>
      <sz val="9"/>
      <color rgb="FFFFFFFF"/>
      <name val="Arial"/>
      <charset val="1"/>
    </font>
    <font>
      <b/>
      <sz val="10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color rgb="FF0070C0"/>
      <name val="Arial"/>
      <charset val="1"/>
    </font>
    <font>
      <b/>
      <sz val="10"/>
      <color rgb="FF000000"/>
      <name val="Arial"/>
      <family val="2"/>
      <charset val="1"/>
    </font>
    <font>
      <sz val="7"/>
      <color rgb="FFE8E0E8"/>
      <name val="Courier New"/>
      <family val="3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  <charset val="1"/>
    </font>
    <font>
      <b/>
      <sz val="11"/>
      <color theme="1"/>
      <name val="Calibri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sz val="11"/>
      <color rgb="FF0000FF"/>
      <name val="Cambria"/>
      <charset val="1"/>
    </font>
    <font>
      <sz val="9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04040"/>
        <bgColor rgb="FF1F3864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E8E0E8"/>
      </patternFill>
    </fill>
    <fill>
      <patternFill patternType="solid">
        <fgColor rgb="FF1D9E75"/>
        <bgColor rgb="FF008080"/>
      </patternFill>
    </fill>
    <fill>
      <patternFill patternType="solid">
        <fgColor rgb="FFBA7517"/>
        <bgColor rgb="FFBF9000"/>
      </patternFill>
    </fill>
    <fill>
      <patternFill patternType="solid">
        <fgColor rgb="FFE24B4A"/>
        <bgColor rgb="FFBA7517"/>
      </patternFill>
    </fill>
    <fill>
      <patternFill patternType="solid">
        <fgColor rgb="FF888780"/>
        <bgColor rgb="FF969696"/>
      </patternFill>
    </fill>
    <fill>
      <patternFill patternType="solid">
        <fgColor rgb="FFFFE699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C6EFCE"/>
        <bgColor rgb="FFE2EFDA"/>
      </patternFill>
    </fill>
  </fills>
  <borders count="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 style="thin">
        <color rgb="FFB8B8B8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5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5" xfId="0" applyFont="1" applyBorder="1"/>
    <xf numFmtId="0" fontId="24" fillId="2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3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3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/>
    <xf numFmtId="3" fontId="4" fillId="0" borderId="0" xfId="0" applyNumberFormat="1" applyFont="1"/>
    <xf numFmtId="0" fontId="3" fillId="0" borderId="0" xfId="0" applyFont="1"/>
    <xf numFmtId="0" fontId="5" fillId="0" borderId="0" xfId="0" applyFont="1"/>
    <xf numFmtId="167" fontId="4" fillId="0" borderId="2" xfId="0" applyNumberFormat="1" applyFont="1" applyBorder="1"/>
    <xf numFmtId="0" fontId="3" fillId="5" borderId="1" xfId="0" applyFont="1" applyFill="1" applyBorder="1" applyAlignment="1">
      <alignment horizontal="center" vertical="center"/>
    </xf>
    <xf numFmtId="168" fontId="4" fillId="0" borderId="1" xfId="0" applyNumberFormat="1" applyFont="1" applyBorder="1"/>
    <xf numFmtId="0" fontId="3" fillId="0" borderId="3" xfId="0" applyFont="1" applyBorder="1"/>
    <xf numFmtId="0" fontId="5" fillId="0" borderId="2" xfId="0" applyFont="1" applyBorder="1"/>
    <xf numFmtId="167" fontId="4" fillId="0" borderId="0" xfId="0" applyNumberFormat="1" applyFont="1"/>
    <xf numFmtId="0" fontId="6" fillId="0" borderId="0" xfId="0" applyFont="1"/>
    <xf numFmtId="0" fontId="4" fillId="0" borderId="0" xfId="0" applyFont="1"/>
    <xf numFmtId="0" fontId="7" fillId="4" borderId="0" xfId="0" applyFont="1" applyFill="1"/>
    <xf numFmtId="0" fontId="8" fillId="4" borderId="0" xfId="0" applyFont="1" applyFill="1"/>
    <xf numFmtId="0" fontId="2" fillId="2" borderId="4" xfId="0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center" vertical="center" wrapText="1"/>
    </xf>
    <xf numFmtId="166" fontId="3" fillId="2" borderId="4" xfId="0" applyNumberFormat="1" applyFont="1" applyFill="1" applyBorder="1" applyAlignment="1">
      <alignment horizontal="center" vertical="center" wrapText="1"/>
    </xf>
    <xf numFmtId="166" fontId="3" fillId="6" borderId="4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right" vertical="center"/>
    </xf>
    <xf numFmtId="3" fontId="3" fillId="6" borderId="4" xfId="0" applyNumberFormat="1" applyFont="1" applyFill="1" applyBorder="1" applyAlignment="1">
      <alignment horizontal="right" vertical="center"/>
    </xf>
    <xf numFmtId="166" fontId="3" fillId="3" borderId="4" xfId="0" applyNumberFormat="1" applyFont="1" applyFill="1" applyBorder="1" applyAlignment="1">
      <alignment horizontal="right" vertical="center"/>
    </xf>
    <xf numFmtId="166" fontId="3" fillId="6" borderId="4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165" fontId="3" fillId="7" borderId="4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right" vertical="center"/>
    </xf>
    <xf numFmtId="166" fontId="3" fillId="7" borderId="4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165" fontId="3" fillId="8" borderId="4" xfId="0" applyNumberFormat="1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right" vertical="center"/>
    </xf>
    <xf numFmtId="166" fontId="3" fillId="8" borderId="4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/>
    <xf numFmtId="3" fontId="3" fillId="6" borderId="4" xfId="0" applyNumberFormat="1" applyFont="1" applyFill="1" applyBorder="1"/>
    <xf numFmtId="166" fontId="3" fillId="0" borderId="4" xfId="0" applyNumberFormat="1" applyFont="1" applyBorder="1"/>
    <xf numFmtId="166" fontId="3" fillId="6" borderId="4" xfId="0" applyNumberFormat="1" applyFont="1" applyFill="1" applyBorder="1"/>
    <xf numFmtId="165" fontId="3" fillId="5" borderId="4" xfId="0" applyNumberFormat="1" applyFont="1" applyFill="1" applyBorder="1" applyAlignment="1">
      <alignment horizontal="center"/>
    </xf>
    <xf numFmtId="165" fontId="3" fillId="9" borderId="4" xfId="0" applyNumberFormat="1" applyFont="1" applyFill="1" applyBorder="1" applyAlignment="1">
      <alignment horizontal="center"/>
    </xf>
    <xf numFmtId="165" fontId="3" fillId="10" borderId="4" xfId="0" applyNumberFormat="1" applyFont="1" applyFill="1" applyBorder="1" applyAlignment="1">
      <alignment horizontal="center"/>
    </xf>
    <xf numFmtId="165" fontId="3" fillId="11" borderId="4" xfId="0" applyNumberFormat="1" applyFont="1" applyFill="1" applyBorder="1" applyAlignment="1">
      <alignment horizontal="center"/>
    </xf>
    <xf numFmtId="165" fontId="3" fillId="12" borderId="4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69" fontId="18" fillId="7" borderId="1" xfId="0" applyNumberFormat="1" applyFont="1" applyFill="1" applyBorder="1" applyAlignment="1">
      <alignment horizontal="right" vertical="center"/>
    </xf>
    <xf numFmtId="3" fontId="18" fillId="7" borderId="1" xfId="0" applyNumberFormat="1" applyFont="1" applyFill="1" applyBorder="1" applyAlignment="1">
      <alignment horizontal="right" vertical="center"/>
    </xf>
    <xf numFmtId="170" fontId="17" fillId="7" borderId="1" xfId="0" applyNumberFormat="1" applyFont="1" applyFill="1" applyBorder="1" applyAlignment="1">
      <alignment horizontal="right" vertical="center"/>
    </xf>
    <xf numFmtId="171" fontId="17" fillId="7" borderId="1" xfId="0" applyNumberFormat="1" applyFont="1" applyFill="1" applyBorder="1" applyAlignment="1">
      <alignment horizontal="right" vertical="center"/>
    </xf>
    <xf numFmtId="172" fontId="18" fillId="7" borderId="1" xfId="0" applyNumberFormat="1" applyFont="1" applyFill="1" applyBorder="1" applyAlignment="1">
      <alignment horizontal="right" vertical="center"/>
    </xf>
    <xf numFmtId="166" fontId="17" fillId="7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right" vertical="center"/>
    </xf>
    <xf numFmtId="0" fontId="17" fillId="7" borderId="1" xfId="0" applyFont="1" applyFill="1" applyBorder="1" applyAlignment="1">
      <alignment horizontal="left" vertical="center" wrapText="1"/>
    </xf>
    <xf numFmtId="9" fontId="18" fillId="7" borderId="1" xfId="0" applyNumberFormat="1" applyFont="1" applyFill="1" applyBorder="1" applyAlignment="1">
      <alignment horizontal="right" vertical="center"/>
    </xf>
    <xf numFmtId="168" fontId="11" fillId="6" borderId="1" xfId="0" applyNumberFormat="1" applyFont="1" applyFill="1" applyBorder="1" applyAlignment="1">
      <alignment horizontal="right" vertical="center"/>
    </xf>
    <xf numFmtId="0" fontId="16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vertical="center"/>
    </xf>
    <xf numFmtId="172" fontId="17" fillId="0" borderId="1" xfId="0" applyNumberFormat="1" applyFont="1" applyBorder="1" applyAlignment="1">
      <alignment horizontal="right" vertical="center"/>
    </xf>
    <xf numFmtId="169" fontId="17" fillId="0" borderId="1" xfId="0" applyNumberFormat="1" applyFont="1" applyBorder="1" applyAlignment="1">
      <alignment horizontal="right" vertical="center"/>
    </xf>
    <xf numFmtId="170" fontId="17" fillId="0" borderId="1" xfId="0" applyNumberFormat="1" applyFont="1" applyBorder="1" applyAlignment="1">
      <alignment horizontal="right" vertical="center"/>
    </xf>
    <xf numFmtId="171" fontId="17" fillId="0" borderId="1" xfId="0" applyNumberFormat="1" applyFont="1" applyBorder="1" applyAlignment="1">
      <alignment horizontal="right" vertical="center"/>
    </xf>
    <xf numFmtId="166" fontId="17" fillId="0" borderId="1" xfId="0" applyNumberFormat="1" applyFont="1" applyBorder="1" applyAlignment="1">
      <alignment horizontal="right" vertical="center"/>
    </xf>
    <xf numFmtId="9" fontId="18" fillId="0" borderId="1" xfId="0" applyNumberFormat="1" applyFont="1" applyBorder="1" applyAlignment="1">
      <alignment horizontal="right" vertical="center"/>
    </xf>
    <xf numFmtId="0" fontId="0" fillId="5" borderId="1" xfId="0" applyFill="1" applyBorder="1"/>
    <xf numFmtId="166" fontId="24" fillId="5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/>
    <xf numFmtId="173" fontId="11" fillId="0" borderId="1" xfId="0" applyNumberFormat="1" applyFont="1" applyBorder="1" applyAlignment="1">
      <alignment horizontal="right" vertical="center"/>
    </xf>
    <xf numFmtId="0" fontId="0" fillId="0" borderId="1" xfId="0" applyBorder="1"/>
    <xf numFmtId="166" fontId="11" fillId="0" borderId="1" xfId="0" applyNumberFormat="1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0" fontId="11" fillId="13" borderId="1" xfId="0" applyFont="1" applyFill="1" applyBorder="1"/>
    <xf numFmtId="4" fontId="18" fillId="0" borderId="1" xfId="0" applyNumberFormat="1" applyFont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6" fontId="11" fillId="6" borderId="1" xfId="0" applyNumberFormat="1" applyFont="1" applyFill="1" applyBorder="1" applyAlignment="1">
      <alignment horizontal="right" vertical="center"/>
    </xf>
    <xf numFmtId="174" fontId="17" fillId="0" borderId="1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9" fontId="24" fillId="5" borderId="1" xfId="0" applyNumberFormat="1" applyFont="1" applyFill="1" applyBorder="1" applyAlignment="1">
      <alignment horizontal="right" vertical="center"/>
    </xf>
    <xf numFmtId="174" fontId="24" fillId="5" borderId="1" xfId="0" applyNumberFormat="1" applyFont="1" applyFill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0" borderId="1" xfId="0" applyFont="1" applyBorder="1" applyAlignment="1">
      <alignment horizontal="right" vertical="center"/>
    </xf>
    <xf numFmtId="166" fontId="17" fillId="14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/>
    <xf numFmtId="166" fontId="11" fillId="1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A7517"/>
      <rgbColor rgb="FF800080"/>
      <rgbColor rgb="FF008080"/>
      <rgbColor rgb="FFB8B8B8"/>
      <rgbColor rgb="FF888780"/>
      <rgbColor rgb="FF9999FF"/>
      <rgbColor rgb="FF993366"/>
      <rgbColor rgb="FFFFF2CC"/>
      <rgbColor rgb="FFE2EFDA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E8E0E8"/>
      <rgbColor rgb="FFFF99CC"/>
      <rgbColor rgb="FFCC99FF"/>
      <rgbColor rgb="FFFFC7CE"/>
      <rgbColor rgb="FF3366FF"/>
      <rgbColor rgb="FF33CCCC"/>
      <rgbColor rgb="FF99CC00"/>
      <rgbColor rgb="FFFFC000"/>
      <rgbColor rgb="FFBF9000"/>
      <rgbColor rgb="FFE24B4A"/>
      <rgbColor rgb="FF666666"/>
      <rgbColor rgb="FF969696"/>
      <rgbColor rgb="FF1F3864"/>
      <rgbColor rgb="FF1D9E75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B$8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3505200</xdr:colOff>
      <xdr:row>37</xdr:row>
      <xdr:rowOff>167640</xdr:rowOff>
    </xdr:to>
    <xdr:pic>
      <xdr:nvPicPr>
        <xdr:cNvPr id="1026" name="Object 2" hidden="1">
          <a:extLst>
            <a:ext uri="{FF2B5EF4-FFF2-40B4-BE49-F238E27FC236}">
              <a16:creationId xmlns:a16="http://schemas.microsoft.com/office/drawing/2014/main" id="{0BBA579C-2179-629F-1674-9FEC12B0A924}"/>
            </a:ext>
          </a:extLst>
        </xdr:cNvPr>
        <xdr:cNvPicPr preferRelativeResize="0">
          <a:picLocks noSel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7</xdr:row>
          <xdr:rowOff>15240</xdr:rowOff>
        </xdr:from>
        <xdr:to>
          <xdr:col>1</xdr:col>
          <xdr:colOff>701040</xdr:colOff>
          <xdr:row>7</xdr:row>
          <xdr:rowOff>129540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B1B7B6A-DC0E-B37F-A42B-C871F2607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32004" rIns="0" bIns="0" anchor="t" upright="1"/>
            <a:lstStyle/>
            <a:p>
              <a:pPr algn="l" rtl="0">
                <a:defRPr sz="1000"/>
              </a:pPr>
              <a:r>
                <a:rPr lang="es-ES" sz="9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Sí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zoomScaleNormal="100" workbookViewId="0">
      <selection activeCell="B12" sqref="B12"/>
    </sheetView>
  </sheetViews>
  <sheetFormatPr baseColWidth="10" defaultColWidth="14.44140625" defaultRowHeight="14.4"/>
  <cols>
    <col min="1" max="1" width="36" customWidth="1"/>
    <col min="2" max="2" width="14" customWidth="1"/>
    <col min="3" max="3" width="10" customWidth="1"/>
    <col min="4" max="4" width="54" customWidth="1"/>
    <col min="5" max="26" width="8.77734375" customWidth="1"/>
  </cols>
  <sheetData>
    <row r="1" spans="1:4" ht="27.75" customHeight="1">
      <c r="A1" s="11" t="s">
        <v>0</v>
      </c>
      <c r="B1" s="11"/>
      <c r="C1" s="11"/>
      <c r="D1" s="11"/>
    </row>
    <row r="2" spans="1:4" ht="15" customHeight="1"/>
    <row r="3" spans="1:4" ht="15" customHeight="1">
      <c r="A3" s="10" t="s">
        <v>1</v>
      </c>
      <c r="B3" s="10"/>
      <c r="C3" s="10"/>
      <c r="D3" s="10"/>
    </row>
    <row r="4" spans="1:4" ht="15" customHeight="1">
      <c r="A4" s="14" t="s">
        <v>2</v>
      </c>
      <c r="B4" s="15">
        <v>95</v>
      </c>
      <c r="C4" s="16" t="s">
        <v>3</v>
      </c>
      <c r="D4" s="17" t="s">
        <v>4</v>
      </c>
    </row>
    <row r="5" spans="1:4" ht="15" customHeight="1">
      <c r="A5" s="14" t="s">
        <v>5</v>
      </c>
      <c r="B5" s="15">
        <v>715</v>
      </c>
      <c r="C5" s="16" t="s">
        <v>6</v>
      </c>
      <c r="D5" s="17" t="s">
        <v>7</v>
      </c>
    </row>
    <row r="6" spans="1:4" ht="15" customHeight="1"/>
    <row r="7" spans="1:4" ht="15" customHeight="1">
      <c r="A7" s="10" t="s">
        <v>8</v>
      </c>
      <c r="B7" s="10"/>
      <c r="C7" s="10"/>
      <c r="D7" s="10"/>
    </row>
    <row r="8" spans="1:4" ht="15" customHeight="1">
      <c r="A8" s="18" t="s">
        <v>9</v>
      </c>
      <c r="B8" s="19" t="b">
        <v>0</v>
      </c>
      <c r="C8" s="16" t="s">
        <v>10</v>
      </c>
      <c r="D8" s="17" t="s">
        <v>11</v>
      </c>
    </row>
    <row r="9" spans="1:4" ht="15" customHeight="1">
      <c r="A9" s="18" t="s">
        <v>12</v>
      </c>
      <c r="B9" s="20">
        <v>15</v>
      </c>
      <c r="C9" s="16" t="s">
        <v>13</v>
      </c>
      <c r="D9" s="17" t="s">
        <v>14</v>
      </c>
    </row>
    <row r="10" spans="1:4" ht="15" customHeight="1">
      <c r="A10" s="14" t="s">
        <v>15</v>
      </c>
      <c r="B10" s="21">
        <f>IF($B$9="","",IFERROR(ROUND((IF($B$8,INDEX('Tarifas Shoppre'!$E$4:$E$219,MATCH(MIN(22,MAX(0.5,ROUND(CEILING($B$9,0.1),1))),'Tarifas Shoppre'!$A$4:$A$219,1)),INDEX('Tarifas Shoppre'!$D$4:$D$219,MATCH(MIN(22,MAX(0.5,ROUND(CEILING($B$9,0.1),1))),'Tarifas Shoppre'!$A$4:$A$219,1))))/$B$9,2),""))</f>
        <v>16.62</v>
      </c>
      <c r="C10" s="16" t="s">
        <v>16</v>
      </c>
      <c r="D10" s="17" t="s">
        <v>17</v>
      </c>
    </row>
    <row r="11" spans="1:4" ht="15" customHeight="1">
      <c r="A11" s="18" t="s">
        <v>18</v>
      </c>
      <c r="B11" s="20">
        <v>15</v>
      </c>
      <c r="C11" s="16" t="s">
        <v>13</v>
      </c>
      <c r="D11" s="17" t="s">
        <v>19</v>
      </c>
    </row>
    <row r="12" spans="1:4" ht="15" customHeight="1">
      <c r="A12" s="14" t="s">
        <v>20</v>
      </c>
      <c r="B12" s="21">
        <f>IFERROR(ROUND(IF($B$8,INDEX('Tarifas Shoppre'!$E$4:$E$219,MATCH(MIN(22,MAX(0.5,ROUND(CEILING($B$11,0.1),1))),'Tarifas Shoppre'!$A$4:$A$219,1)),INDEX('Tarifas Shoppre'!$D$4:$D$219,MATCH(MIN(22,MAX(0.5,ROUND(CEILING($B$11,0.1),1))),'Tarifas Shoppre'!$A$4:$A$219,1))),2),"")</f>
        <v>249.29</v>
      </c>
      <c r="C12" s="16" t="s">
        <v>21</v>
      </c>
      <c r="D12" s="17" t="s">
        <v>22</v>
      </c>
    </row>
    <row r="13" spans="1:4" ht="15" customHeight="1">
      <c r="A13" s="22"/>
    </row>
    <row r="14" spans="1:4" ht="15" customHeight="1">
      <c r="A14" s="10" t="s">
        <v>23</v>
      </c>
      <c r="B14" s="10"/>
      <c r="C14" s="10"/>
      <c r="D14" s="10"/>
    </row>
    <row r="15" spans="1:4" ht="15" customHeight="1">
      <c r="A15" s="14" t="s">
        <v>24</v>
      </c>
      <c r="B15" s="23">
        <v>45</v>
      </c>
      <c r="C15" s="24" t="s">
        <v>25</v>
      </c>
      <c r="D15" s="25" t="s">
        <v>26</v>
      </c>
    </row>
    <row r="16" spans="1:4" ht="17.25" customHeight="1">
      <c r="A16" s="14" t="s">
        <v>27</v>
      </c>
      <c r="B16" s="26">
        <v>0.03</v>
      </c>
      <c r="C16" s="24" t="s">
        <v>28</v>
      </c>
      <c r="D16" s="25" t="s">
        <v>29</v>
      </c>
    </row>
    <row r="17" spans="1:4" ht="17.25" customHeight="1">
      <c r="A17" s="24" t="s">
        <v>30</v>
      </c>
      <c r="B17" s="23">
        <v>500</v>
      </c>
      <c r="C17" s="24" t="s">
        <v>31</v>
      </c>
      <c r="D17" s="25" t="s">
        <v>32</v>
      </c>
    </row>
    <row r="18" spans="1:4" ht="17.25" customHeight="1">
      <c r="A18" s="27" t="s">
        <v>33</v>
      </c>
      <c r="B18" s="26">
        <v>0</v>
      </c>
      <c r="C18" s="24" t="s">
        <v>28</v>
      </c>
      <c r="D18" s="25" t="s">
        <v>34</v>
      </c>
    </row>
    <row r="19" spans="1:4" ht="17.25" customHeight="1">
      <c r="A19" s="22"/>
    </row>
    <row r="20" spans="1:4" ht="17.25" customHeight="1">
      <c r="A20" s="9" t="s">
        <v>35</v>
      </c>
      <c r="B20" s="9"/>
      <c r="C20" s="9"/>
      <c r="D20" s="9"/>
    </row>
    <row r="21" spans="1:4" ht="15.75" customHeight="1">
      <c r="A21" s="14" t="s">
        <v>36</v>
      </c>
      <c r="B21" s="28">
        <v>0</v>
      </c>
      <c r="C21" s="29" t="s">
        <v>21</v>
      </c>
      <c r="D21" s="30" t="s">
        <v>37</v>
      </c>
    </row>
    <row r="22" spans="1:4" ht="15.75" customHeight="1">
      <c r="A22" s="24" t="s">
        <v>38</v>
      </c>
      <c r="B22" s="31">
        <v>0</v>
      </c>
      <c r="C22" s="24" t="s">
        <v>28</v>
      </c>
      <c r="D22" s="25" t="s">
        <v>39</v>
      </c>
    </row>
    <row r="23" spans="1:4" ht="15.75" customHeight="1">
      <c r="A23" s="32"/>
    </row>
    <row r="24" spans="1:4" ht="15.75" customHeight="1">
      <c r="A24" s="32" t="s">
        <v>40</v>
      </c>
      <c r="B24" s="25"/>
    </row>
    <row r="25" spans="1:4" ht="15.75" customHeight="1">
      <c r="A25" s="33" t="s">
        <v>41</v>
      </c>
      <c r="B25" s="25" t="s">
        <v>42</v>
      </c>
    </row>
    <row r="26" spans="1:4" ht="15.75" customHeight="1">
      <c r="A26" s="34" t="s">
        <v>41</v>
      </c>
      <c r="B26" s="25" t="s">
        <v>43</v>
      </c>
    </row>
    <row r="27" spans="1:4" ht="15.75" customHeight="1">
      <c r="A27" s="35" t="s">
        <v>41</v>
      </c>
      <c r="B27" s="25" t="s">
        <v>44</v>
      </c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" customHeight="1"/>
  </sheetData>
  <mergeCells count="5">
    <mergeCell ref="A1:D1"/>
    <mergeCell ref="A3:D3"/>
    <mergeCell ref="A7:D7"/>
    <mergeCell ref="A14:D14"/>
    <mergeCell ref="A20:D20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Pict="0">
                <anchor moveWithCells="1" sizeWithCells="1">
                  <from>
                    <xdr:col>1</xdr:col>
                    <xdr:colOff>60960</xdr:colOff>
                    <xdr:row>7</xdr:row>
                    <xdr:rowOff>15240</xdr:rowOff>
                  </from>
                  <to>
                    <xdr:col>1</xdr:col>
                    <xdr:colOff>701040</xdr:colOff>
                    <xdr:row>7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9"/>
  <sheetViews>
    <sheetView zoomScaleNormal="100" workbookViewId="0">
      <pane ySplit="3" topLeftCell="A174" activePane="bottomLeft" state="frozen"/>
      <selection pane="bottomLeft" sqref="A1:G1"/>
    </sheetView>
  </sheetViews>
  <sheetFormatPr baseColWidth="10" defaultColWidth="8.6640625" defaultRowHeight="14.4"/>
  <cols>
    <col min="1" max="1" width="10" customWidth="1"/>
    <col min="2" max="3" width="12" customWidth="1"/>
    <col min="4" max="4" width="14" customWidth="1"/>
    <col min="5" max="6" width="15" customWidth="1"/>
    <col min="7" max="9" width="12" customWidth="1"/>
  </cols>
  <sheetData>
    <row r="1" spans="1:9" ht="25.5" customHeight="1">
      <c r="A1" s="13" t="s">
        <v>45</v>
      </c>
      <c r="B1" s="13"/>
      <c r="C1" s="13"/>
      <c r="D1" s="13"/>
      <c r="E1" s="13"/>
      <c r="F1" s="13"/>
      <c r="G1" s="13"/>
    </row>
    <row r="2" spans="1:9" ht="42" customHeight="1">
      <c r="A2" s="12" t="s">
        <v>46</v>
      </c>
      <c r="B2" s="12"/>
      <c r="C2" s="12"/>
      <c r="D2" s="12"/>
      <c r="E2" s="12"/>
      <c r="F2" s="12"/>
      <c r="G2" s="12"/>
    </row>
    <row r="3" spans="1:9" ht="26.25" customHeight="1">
      <c r="A3" s="36" t="s">
        <v>47</v>
      </c>
      <c r="B3" s="36" t="s">
        <v>48</v>
      </c>
      <c r="C3" s="36" t="s">
        <v>49</v>
      </c>
      <c r="D3" s="36" t="s">
        <v>50</v>
      </c>
      <c r="E3" s="36" t="s">
        <v>51</v>
      </c>
      <c r="F3" s="36" t="s">
        <v>52</v>
      </c>
      <c r="G3" s="36" t="s">
        <v>53</v>
      </c>
    </row>
    <row r="4" spans="1:9" ht="36" customHeight="1">
      <c r="A4" s="37">
        <v>0.5</v>
      </c>
      <c r="B4" s="38">
        <v>1968</v>
      </c>
      <c r="C4" s="39">
        <v>1870</v>
      </c>
      <c r="D4" s="40">
        <f>ROUND(B4/Configuración!$B$4,2)</f>
        <v>20.72</v>
      </c>
      <c r="E4" s="41">
        <f>ROUND(C4/Configuración!$B$4,2)</f>
        <v>19.68</v>
      </c>
      <c r="F4" s="40">
        <f t="shared" ref="F4:F67" si="0">IF(A4=0,"",ROUND(D4/A4,2))</f>
        <v>41.44</v>
      </c>
      <c r="G4" s="41">
        <f t="shared" ref="G4:G67" si="1">IF(A4=0,"",ROUND(E4/A4,2))</f>
        <v>39.36</v>
      </c>
      <c r="H4" s="42"/>
      <c r="I4" s="42"/>
    </row>
    <row r="5" spans="1:9" ht="15" customHeight="1">
      <c r="A5" s="43">
        <v>0.6</v>
      </c>
      <c r="B5" s="44">
        <v>2139</v>
      </c>
      <c r="C5" s="45">
        <v>2032</v>
      </c>
      <c r="D5" s="46">
        <f>ROUND(B5/Configuración!$B$4,2)</f>
        <v>22.52</v>
      </c>
      <c r="E5" s="47">
        <f>ROUND(C5/Configuración!$B$4,2)</f>
        <v>21.39</v>
      </c>
      <c r="F5" s="46">
        <f t="shared" si="0"/>
        <v>37.53</v>
      </c>
      <c r="G5" s="47">
        <f t="shared" si="1"/>
        <v>35.65</v>
      </c>
      <c r="H5" s="48"/>
      <c r="I5" s="48"/>
    </row>
    <row r="6" spans="1:9" ht="15" customHeight="1">
      <c r="A6" s="43">
        <v>0.7</v>
      </c>
      <c r="B6" s="44">
        <v>2928</v>
      </c>
      <c r="C6" s="45">
        <v>2782</v>
      </c>
      <c r="D6" s="46">
        <f>ROUND(B6/Configuración!$B$4,2)</f>
        <v>30.82</v>
      </c>
      <c r="E6" s="47">
        <f>ROUND(C6/Configuración!$B$4,2)</f>
        <v>29.28</v>
      </c>
      <c r="F6" s="46">
        <f t="shared" si="0"/>
        <v>44.03</v>
      </c>
      <c r="G6" s="47">
        <f t="shared" si="1"/>
        <v>41.83</v>
      </c>
      <c r="H6" s="48"/>
      <c r="I6" s="48"/>
    </row>
    <row r="7" spans="1:9" ht="15" customHeight="1">
      <c r="A7" s="43">
        <v>0.8</v>
      </c>
      <c r="B7" s="44">
        <v>2478</v>
      </c>
      <c r="C7" s="45">
        <v>2354</v>
      </c>
      <c r="D7" s="46">
        <f>ROUND(B7/Configuración!$B$4,2)</f>
        <v>26.08</v>
      </c>
      <c r="E7" s="47">
        <f>ROUND(C7/Configuración!$B$4,2)</f>
        <v>24.78</v>
      </c>
      <c r="F7" s="46">
        <f t="shared" si="0"/>
        <v>32.6</v>
      </c>
      <c r="G7" s="47">
        <f t="shared" si="1"/>
        <v>30.98</v>
      </c>
      <c r="H7" s="48"/>
      <c r="I7" s="48"/>
    </row>
    <row r="8" spans="1:9" ht="15" customHeight="1">
      <c r="A8" s="43">
        <v>0.9</v>
      </c>
      <c r="B8" s="44">
        <v>2647</v>
      </c>
      <c r="C8" s="45">
        <v>2515</v>
      </c>
      <c r="D8" s="46">
        <f>ROUND(B8/Configuración!$B$4,2)</f>
        <v>27.86</v>
      </c>
      <c r="E8" s="47">
        <f>ROUND(C8/Configuración!$B$4,2)</f>
        <v>26.47</v>
      </c>
      <c r="F8" s="46">
        <f t="shared" si="0"/>
        <v>30.96</v>
      </c>
      <c r="G8" s="47">
        <f t="shared" si="1"/>
        <v>29.41</v>
      </c>
      <c r="H8" s="48"/>
      <c r="I8" s="48"/>
    </row>
    <row r="9" spans="1:9" ht="15" customHeight="1">
      <c r="A9" s="49">
        <v>1</v>
      </c>
      <c r="B9" s="50">
        <v>2928</v>
      </c>
      <c r="C9" s="45">
        <v>2782</v>
      </c>
      <c r="D9" s="51">
        <f>ROUND(B9/Configuración!$B$4,2)</f>
        <v>30.82</v>
      </c>
      <c r="E9" s="47">
        <f>ROUND(C9/Configuración!$B$4,2)</f>
        <v>29.28</v>
      </c>
      <c r="F9" s="51">
        <f t="shared" si="0"/>
        <v>30.82</v>
      </c>
      <c r="G9" s="47">
        <f t="shared" si="1"/>
        <v>29.28</v>
      </c>
      <c r="H9" s="52"/>
      <c r="I9" s="52"/>
    </row>
    <row r="10" spans="1:9" ht="15" customHeight="1">
      <c r="A10" s="49">
        <v>1.1000000000000001</v>
      </c>
      <c r="B10" s="50">
        <v>2937</v>
      </c>
      <c r="C10" s="45">
        <v>2790</v>
      </c>
      <c r="D10" s="51">
        <f>ROUND(B10/Configuración!$B$4,2)</f>
        <v>30.92</v>
      </c>
      <c r="E10" s="47">
        <f>ROUND(C10/Configuración!$B$4,2)</f>
        <v>29.37</v>
      </c>
      <c r="F10" s="51">
        <f t="shared" si="0"/>
        <v>28.11</v>
      </c>
      <c r="G10" s="47">
        <f t="shared" si="1"/>
        <v>26.7</v>
      </c>
      <c r="H10" s="52"/>
      <c r="I10" s="52"/>
    </row>
    <row r="11" spans="1:9" ht="15" customHeight="1">
      <c r="A11" s="49">
        <v>1.2</v>
      </c>
      <c r="B11" s="50">
        <v>3102</v>
      </c>
      <c r="C11" s="45">
        <v>2947</v>
      </c>
      <c r="D11" s="51">
        <f>ROUND(B11/Configuración!$B$4,2)</f>
        <v>32.65</v>
      </c>
      <c r="E11" s="47">
        <f>ROUND(C11/Configuración!$B$4,2)</f>
        <v>31.02</v>
      </c>
      <c r="F11" s="51">
        <f t="shared" si="0"/>
        <v>27.21</v>
      </c>
      <c r="G11" s="47">
        <f t="shared" si="1"/>
        <v>25.85</v>
      </c>
      <c r="H11" s="52"/>
      <c r="I11" s="52"/>
    </row>
    <row r="12" spans="1:9" ht="15" customHeight="1">
      <c r="A12" s="49">
        <v>1.3</v>
      </c>
      <c r="B12" s="50">
        <v>3265</v>
      </c>
      <c r="C12" s="45">
        <v>3101</v>
      </c>
      <c r="D12" s="51">
        <f>ROUND(B12/Configuración!$B$4,2)</f>
        <v>34.369999999999997</v>
      </c>
      <c r="E12" s="47">
        <f>ROUND(C12/Configuración!$B$4,2)</f>
        <v>32.64</v>
      </c>
      <c r="F12" s="51">
        <f t="shared" si="0"/>
        <v>26.44</v>
      </c>
      <c r="G12" s="47">
        <f t="shared" si="1"/>
        <v>25.11</v>
      </c>
      <c r="H12" s="52"/>
      <c r="I12" s="52"/>
    </row>
    <row r="13" spans="1:9" ht="15" customHeight="1">
      <c r="A13" s="49">
        <v>1.4</v>
      </c>
      <c r="B13" s="50">
        <v>3520</v>
      </c>
      <c r="C13" s="45">
        <v>3344</v>
      </c>
      <c r="D13" s="51">
        <f>ROUND(B13/Configuración!$B$4,2)</f>
        <v>37.049999999999997</v>
      </c>
      <c r="E13" s="47">
        <f>ROUND(C13/Configuración!$B$4,2)</f>
        <v>35.200000000000003</v>
      </c>
      <c r="F13" s="51">
        <f t="shared" si="0"/>
        <v>26.46</v>
      </c>
      <c r="G13" s="47">
        <f t="shared" si="1"/>
        <v>25.14</v>
      </c>
      <c r="H13" s="52"/>
      <c r="I13" s="52"/>
    </row>
    <row r="14" spans="1:9" ht="15" customHeight="1">
      <c r="A14" s="49">
        <v>1.5</v>
      </c>
      <c r="B14" s="50">
        <v>3684</v>
      </c>
      <c r="C14" s="45">
        <v>3500</v>
      </c>
      <c r="D14" s="51">
        <f>ROUND(B14/Configuración!$B$4,2)</f>
        <v>38.78</v>
      </c>
      <c r="E14" s="47">
        <f>ROUND(C14/Configuración!$B$4,2)</f>
        <v>36.840000000000003</v>
      </c>
      <c r="F14" s="51">
        <f t="shared" si="0"/>
        <v>25.85</v>
      </c>
      <c r="G14" s="47">
        <f t="shared" si="1"/>
        <v>24.56</v>
      </c>
      <c r="H14" s="52"/>
      <c r="I14" s="52"/>
    </row>
    <row r="15" spans="1:9" ht="15" customHeight="1">
      <c r="A15" s="49">
        <v>1.6</v>
      </c>
      <c r="B15" s="50">
        <v>3848</v>
      </c>
      <c r="C15" s="45">
        <v>3655</v>
      </c>
      <c r="D15" s="51">
        <f>ROUND(B15/Configuración!$B$4,2)</f>
        <v>40.51</v>
      </c>
      <c r="E15" s="47">
        <f>ROUND(C15/Configuración!$B$4,2)</f>
        <v>38.47</v>
      </c>
      <c r="F15" s="51">
        <f t="shared" si="0"/>
        <v>25.32</v>
      </c>
      <c r="G15" s="47">
        <f t="shared" si="1"/>
        <v>24.04</v>
      </c>
      <c r="H15" s="52"/>
      <c r="I15" s="52"/>
    </row>
    <row r="16" spans="1:9" ht="15" customHeight="1">
      <c r="A16" s="49">
        <v>1.7</v>
      </c>
      <c r="B16" s="50">
        <v>4012</v>
      </c>
      <c r="C16" s="45">
        <v>3811</v>
      </c>
      <c r="D16" s="51">
        <f>ROUND(B16/Configuración!$B$4,2)</f>
        <v>42.23</v>
      </c>
      <c r="E16" s="47">
        <f>ROUND(C16/Configuración!$B$4,2)</f>
        <v>40.119999999999997</v>
      </c>
      <c r="F16" s="51">
        <f t="shared" si="0"/>
        <v>24.84</v>
      </c>
      <c r="G16" s="47">
        <f t="shared" si="1"/>
        <v>23.6</v>
      </c>
      <c r="H16" s="52"/>
      <c r="I16" s="52"/>
    </row>
    <row r="17" spans="1:9" ht="15" customHeight="1">
      <c r="A17" s="49">
        <v>1.8</v>
      </c>
      <c r="B17" s="50">
        <v>4175</v>
      </c>
      <c r="C17" s="45">
        <v>3966</v>
      </c>
      <c r="D17" s="51">
        <f>ROUND(B17/Configuración!$B$4,2)</f>
        <v>43.95</v>
      </c>
      <c r="E17" s="47">
        <f>ROUND(C17/Configuración!$B$4,2)</f>
        <v>41.75</v>
      </c>
      <c r="F17" s="51">
        <f t="shared" si="0"/>
        <v>24.42</v>
      </c>
      <c r="G17" s="47">
        <f t="shared" si="1"/>
        <v>23.19</v>
      </c>
      <c r="H17" s="52"/>
      <c r="I17" s="52"/>
    </row>
    <row r="18" spans="1:9" ht="15" customHeight="1">
      <c r="A18" s="49">
        <v>1.9</v>
      </c>
      <c r="B18" s="50">
        <v>4443</v>
      </c>
      <c r="C18" s="45">
        <v>4221</v>
      </c>
      <c r="D18" s="51">
        <f>ROUND(B18/Configuración!$B$4,2)</f>
        <v>46.77</v>
      </c>
      <c r="E18" s="47">
        <f>ROUND(C18/Configuración!$B$4,2)</f>
        <v>44.43</v>
      </c>
      <c r="F18" s="51">
        <f t="shared" si="0"/>
        <v>24.62</v>
      </c>
      <c r="G18" s="47">
        <f t="shared" si="1"/>
        <v>23.38</v>
      </c>
      <c r="H18" s="52"/>
      <c r="I18" s="52"/>
    </row>
    <row r="19" spans="1:9" ht="15" customHeight="1">
      <c r="A19" s="53">
        <v>2</v>
      </c>
      <c r="B19" s="45">
        <v>4606</v>
      </c>
      <c r="C19" s="45">
        <v>4376</v>
      </c>
      <c r="D19" s="47">
        <f>ROUND(B19/Configuración!$B$4,2)</f>
        <v>48.48</v>
      </c>
      <c r="E19" s="47">
        <f>ROUND(C19/Configuración!$B$4,2)</f>
        <v>46.06</v>
      </c>
      <c r="F19" s="47">
        <f t="shared" si="0"/>
        <v>24.24</v>
      </c>
      <c r="G19" s="47">
        <f t="shared" si="1"/>
        <v>23.03</v>
      </c>
      <c r="H19" s="54"/>
      <c r="I19" s="54"/>
    </row>
    <row r="20" spans="1:9" ht="15" customHeight="1">
      <c r="A20" s="53">
        <v>2.1</v>
      </c>
      <c r="B20" s="45">
        <v>5537</v>
      </c>
      <c r="C20" s="45">
        <v>5260</v>
      </c>
      <c r="D20" s="47">
        <f>ROUND(B20/Configuración!$B$4,2)</f>
        <v>58.28</v>
      </c>
      <c r="E20" s="47">
        <f>ROUND(C20/Configuración!$B$4,2)</f>
        <v>55.37</v>
      </c>
      <c r="F20" s="47">
        <f t="shared" si="0"/>
        <v>27.75</v>
      </c>
      <c r="G20" s="47">
        <f t="shared" si="1"/>
        <v>26.37</v>
      </c>
      <c r="H20" s="54"/>
      <c r="I20" s="54"/>
    </row>
    <row r="21" spans="1:9" ht="15" customHeight="1">
      <c r="A21" s="53">
        <v>2.2000000000000002</v>
      </c>
      <c r="B21" s="45">
        <v>5537</v>
      </c>
      <c r="C21" s="45">
        <v>5260</v>
      </c>
      <c r="D21" s="47">
        <f>ROUND(B21/Configuración!$B$4,2)</f>
        <v>58.28</v>
      </c>
      <c r="E21" s="47">
        <f>ROUND(C21/Configuración!$B$4,2)</f>
        <v>55.37</v>
      </c>
      <c r="F21" s="47">
        <f t="shared" si="0"/>
        <v>26.49</v>
      </c>
      <c r="G21" s="47">
        <f t="shared" si="1"/>
        <v>25.17</v>
      </c>
      <c r="H21" s="54"/>
      <c r="I21" s="54"/>
    </row>
    <row r="22" spans="1:9" ht="15" customHeight="1">
      <c r="A22" s="53">
        <v>2.2999999999999998</v>
      </c>
      <c r="B22" s="45">
        <v>5537</v>
      </c>
      <c r="C22" s="45">
        <v>5260</v>
      </c>
      <c r="D22" s="47">
        <f>ROUND(B22/Configuración!$B$4,2)</f>
        <v>58.28</v>
      </c>
      <c r="E22" s="47">
        <f>ROUND(C22/Configuración!$B$4,2)</f>
        <v>55.37</v>
      </c>
      <c r="F22" s="47">
        <f t="shared" si="0"/>
        <v>25.34</v>
      </c>
      <c r="G22" s="47">
        <f t="shared" si="1"/>
        <v>24.07</v>
      </c>
      <c r="H22" s="54"/>
      <c r="I22" s="54"/>
    </row>
    <row r="23" spans="1:9" ht="15" customHeight="1">
      <c r="A23" s="53">
        <v>2.4</v>
      </c>
      <c r="B23" s="45">
        <v>5537</v>
      </c>
      <c r="C23" s="45">
        <v>5260</v>
      </c>
      <c r="D23" s="47">
        <f>ROUND(B23/Configuración!$B$4,2)</f>
        <v>58.28</v>
      </c>
      <c r="E23" s="47">
        <f>ROUND(C23/Configuración!$B$4,2)</f>
        <v>55.37</v>
      </c>
      <c r="F23" s="47">
        <f t="shared" si="0"/>
        <v>24.28</v>
      </c>
      <c r="G23" s="47">
        <f t="shared" si="1"/>
        <v>23.07</v>
      </c>
      <c r="H23" s="54"/>
      <c r="I23" s="54"/>
    </row>
    <row r="24" spans="1:9" ht="15" customHeight="1">
      <c r="A24" s="49">
        <v>2.5</v>
      </c>
      <c r="B24" s="50">
        <v>5537</v>
      </c>
      <c r="C24" s="45">
        <v>5260</v>
      </c>
      <c r="D24" s="51">
        <f>ROUND(B24/Configuración!$B$4,2)</f>
        <v>58.28</v>
      </c>
      <c r="E24" s="47">
        <f>ROUND(C24/Configuración!$B$4,2)</f>
        <v>55.37</v>
      </c>
      <c r="F24" s="51">
        <f t="shared" si="0"/>
        <v>23.31</v>
      </c>
      <c r="G24" s="47">
        <f t="shared" si="1"/>
        <v>22.15</v>
      </c>
      <c r="H24" s="52"/>
      <c r="I24" s="52"/>
    </row>
    <row r="25" spans="1:9" ht="15" customHeight="1">
      <c r="A25" s="55">
        <v>2.6</v>
      </c>
      <c r="B25" s="56">
        <v>6439</v>
      </c>
      <c r="C25" s="45">
        <v>6117</v>
      </c>
      <c r="D25" s="57">
        <f>ROUND(B25/Configuración!$B$4,2)</f>
        <v>67.78</v>
      </c>
      <c r="E25" s="47">
        <f>ROUND(C25/Configuración!$B$4,2)</f>
        <v>64.39</v>
      </c>
      <c r="F25" s="57">
        <f t="shared" si="0"/>
        <v>26.07</v>
      </c>
      <c r="G25" s="47">
        <f t="shared" si="1"/>
        <v>24.77</v>
      </c>
      <c r="H25" s="58"/>
      <c r="I25" s="58"/>
    </row>
    <row r="26" spans="1:9" ht="15" customHeight="1">
      <c r="A26" s="49">
        <v>2.7</v>
      </c>
      <c r="B26" s="50">
        <v>6439</v>
      </c>
      <c r="C26" s="45">
        <v>6117</v>
      </c>
      <c r="D26" s="51">
        <f>ROUND(B26/Configuración!$B$4,2)</f>
        <v>67.78</v>
      </c>
      <c r="E26" s="47">
        <f>ROUND(C26/Configuración!$B$4,2)</f>
        <v>64.39</v>
      </c>
      <c r="F26" s="51">
        <f t="shared" si="0"/>
        <v>25.1</v>
      </c>
      <c r="G26" s="47">
        <f t="shared" si="1"/>
        <v>23.85</v>
      </c>
      <c r="H26" s="52"/>
      <c r="I26" s="52"/>
    </row>
    <row r="27" spans="1:9" ht="15" customHeight="1">
      <c r="A27" s="49">
        <v>2.8</v>
      </c>
      <c r="B27" s="50">
        <v>6439</v>
      </c>
      <c r="C27" s="45">
        <v>6117</v>
      </c>
      <c r="D27" s="51">
        <f>ROUND(B27/Configuración!$B$4,2)</f>
        <v>67.78</v>
      </c>
      <c r="E27" s="47">
        <f>ROUND(C27/Configuración!$B$4,2)</f>
        <v>64.39</v>
      </c>
      <c r="F27" s="51">
        <f t="shared" si="0"/>
        <v>24.21</v>
      </c>
      <c r="G27" s="47">
        <f t="shared" si="1"/>
        <v>23</v>
      </c>
      <c r="H27" s="52"/>
      <c r="I27" s="52"/>
    </row>
    <row r="28" spans="1:9" ht="15" customHeight="1">
      <c r="A28" s="49">
        <v>2.9</v>
      </c>
      <c r="B28" s="50">
        <v>6439</v>
      </c>
      <c r="C28" s="45">
        <v>6117</v>
      </c>
      <c r="D28" s="51">
        <f>ROUND(B28/Configuración!$B$4,2)</f>
        <v>67.78</v>
      </c>
      <c r="E28" s="47">
        <f>ROUND(C28/Configuración!$B$4,2)</f>
        <v>64.39</v>
      </c>
      <c r="F28" s="51">
        <f t="shared" si="0"/>
        <v>23.37</v>
      </c>
      <c r="G28" s="47">
        <f t="shared" si="1"/>
        <v>22.2</v>
      </c>
      <c r="H28" s="52"/>
      <c r="I28" s="52"/>
    </row>
    <row r="29" spans="1:9" ht="15" customHeight="1">
      <c r="A29" s="49">
        <v>3</v>
      </c>
      <c r="B29" s="50">
        <v>6439</v>
      </c>
      <c r="C29" s="45">
        <v>6117</v>
      </c>
      <c r="D29" s="51">
        <f>ROUND(B29/Configuración!$B$4,2)</f>
        <v>67.78</v>
      </c>
      <c r="E29" s="47">
        <f>ROUND(C29/Configuración!$B$4,2)</f>
        <v>64.39</v>
      </c>
      <c r="F29" s="51">
        <f t="shared" si="0"/>
        <v>22.59</v>
      </c>
      <c r="G29" s="47">
        <f t="shared" si="1"/>
        <v>21.46</v>
      </c>
      <c r="H29" s="52"/>
      <c r="I29" s="52"/>
    </row>
    <row r="30" spans="1:9" ht="15" customHeight="1">
      <c r="A30" s="49">
        <v>3.1</v>
      </c>
      <c r="B30" s="50">
        <v>7346</v>
      </c>
      <c r="C30" s="45">
        <v>6979</v>
      </c>
      <c r="D30" s="51">
        <f>ROUND(B30/Configuración!$B$4,2)</f>
        <v>77.33</v>
      </c>
      <c r="E30" s="47">
        <f>ROUND(C30/Configuración!$B$4,2)</f>
        <v>73.459999999999994</v>
      </c>
      <c r="F30" s="51">
        <f t="shared" si="0"/>
        <v>24.95</v>
      </c>
      <c r="G30" s="47">
        <f t="shared" si="1"/>
        <v>23.7</v>
      </c>
      <c r="H30" s="52"/>
      <c r="I30" s="52"/>
    </row>
    <row r="31" spans="1:9" ht="15" customHeight="1">
      <c r="A31" s="49">
        <v>3.2</v>
      </c>
      <c r="B31" s="50">
        <v>7346</v>
      </c>
      <c r="C31" s="45">
        <v>6979</v>
      </c>
      <c r="D31" s="51">
        <f>ROUND(B31/Configuración!$B$4,2)</f>
        <v>77.33</v>
      </c>
      <c r="E31" s="47">
        <f>ROUND(C31/Configuración!$B$4,2)</f>
        <v>73.459999999999994</v>
      </c>
      <c r="F31" s="51">
        <f t="shared" si="0"/>
        <v>24.17</v>
      </c>
      <c r="G31" s="47">
        <f t="shared" si="1"/>
        <v>22.96</v>
      </c>
      <c r="H31" s="52"/>
      <c r="I31" s="52"/>
    </row>
    <row r="32" spans="1:9" ht="15" customHeight="1">
      <c r="A32" s="49">
        <v>3.3</v>
      </c>
      <c r="B32" s="50">
        <v>7346</v>
      </c>
      <c r="C32" s="45">
        <v>6979</v>
      </c>
      <c r="D32" s="51">
        <f>ROUND(B32/Configuración!$B$4,2)</f>
        <v>77.33</v>
      </c>
      <c r="E32" s="47">
        <f>ROUND(C32/Configuración!$B$4,2)</f>
        <v>73.459999999999994</v>
      </c>
      <c r="F32" s="51">
        <f t="shared" si="0"/>
        <v>23.43</v>
      </c>
      <c r="G32" s="47">
        <f t="shared" si="1"/>
        <v>22.26</v>
      </c>
      <c r="H32" s="52"/>
      <c r="I32" s="52"/>
    </row>
    <row r="33" spans="1:7" ht="14.25" customHeight="1">
      <c r="A33" s="59">
        <v>3.4</v>
      </c>
      <c r="B33" s="60">
        <v>7346</v>
      </c>
      <c r="C33" s="61">
        <v>6979</v>
      </c>
      <c r="D33" s="62">
        <f>ROUND(B33/Configuración!$B$4,2)</f>
        <v>77.33</v>
      </c>
      <c r="E33" s="63">
        <f>ROUND(C33/Configuración!$B$4,2)</f>
        <v>73.459999999999994</v>
      </c>
      <c r="F33" s="62">
        <f t="shared" si="0"/>
        <v>22.74</v>
      </c>
      <c r="G33" s="63">
        <f t="shared" si="1"/>
        <v>21.61</v>
      </c>
    </row>
    <row r="34" spans="1:7" ht="15" customHeight="1">
      <c r="A34" s="64">
        <v>3.5</v>
      </c>
      <c r="B34" s="60">
        <v>7346</v>
      </c>
      <c r="C34" s="61">
        <v>6979</v>
      </c>
      <c r="D34" s="62">
        <f>ROUND(B34/Configuración!$B$4,2)</f>
        <v>77.33</v>
      </c>
      <c r="E34" s="63">
        <f>ROUND(C34/Configuración!$B$4,2)</f>
        <v>73.459999999999994</v>
      </c>
      <c r="F34" s="62">
        <f t="shared" si="0"/>
        <v>22.09</v>
      </c>
      <c r="G34" s="63">
        <f t="shared" si="1"/>
        <v>20.99</v>
      </c>
    </row>
    <row r="35" spans="1:7" ht="15" customHeight="1">
      <c r="A35" s="65">
        <v>3.6</v>
      </c>
      <c r="B35" s="60">
        <v>8226</v>
      </c>
      <c r="C35" s="61">
        <v>7814</v>
      </c>
      <c r="D35" s="62">
        <f>ROUND(B35/Configuración!$B$4,2)</f>
        <v>86.59</v>
      </c>
      <c r="E35" s="63">
        <f>ROUND(C35/Configuración!$B$4,2)</f>
        <v>82.25</v>
      </c>
      <c r="F35" s="62">
        <f t="shared" si="0"/>
        <v>24.05</v>
      </c>
      <c r="G35" s="63">
        <f t="shared" si="1"/>
        <v>22.85</v>
      </c>
    </row>
    <row r="36" spans="1:7" ht="15" customHeight="1">
      <c r="A36" s="66">
        <v>3.7</v>
      </c>
      <c r="B36" s="60">
        <v>8226</v>
      </c>
      <c r="C36" s="61">
        <v>7814</v>
      </c>
      <c r="D36" s="62">
        <f>ROUND(B36/Configuración!$B$4,2)</f>
        <v>86.59</v>
      </c>
      <c r="E36" s="63">
        <f>ROUND(C36/Configuración!$B$4,2)</f>
        <v>82.25</v>
      </c>
      <c r="F36" s="62">
        <f t="shared" si="0"/>
        <v>23.4</v>
      </c>
      <c r="G36" s="63">
        <f t="shared" si="1"/>
        <v>22.23</v>
      </c>
    </row>
    <row r="37" spans="1:7" ht="15" customHeight="1">
      <c r="A37" s="67">
        <v>3.8</v>
      </c>
      <c r="B37" s="60">
        <v>8226</v>
      </c>
      <c r="C37" s="61">
        <v>7814</v>
      </c>
      <c r="D37" s="62">
        <f>ROUND(B37/Configuración!$B$4,2)</f>
        <v>86.59</v>
      </c>
      <c r="E37" s="63">
        <f>ROUND(C37/Configuración!$B$4,2)</f>
        <v>82.25</v>
      </c>
      <c r="F37" s="62">
        <f t="shared" si="0"/>
        <v>22.79</v>
      </c>
      <c r="G37" s="63">
        <f t="shared" si="1"/>
        <v>21.64</v>
      </c>
    </row>
    <row r="38" spans="1:7" ht="15" customHeight="1">
      <c r="A38" s="68">
        <v>3.9</v>
      </c>
      <c r="B38" s="60">
        <v>8226</v>
      </c>
      <c r="C38" s="61">
        <v>7814</v>
      </c>
      <c r="D38" s="62">
        <f>ROUND(B38/Configuración!$B$4,2)</f>
        <v>86.59</v>
      </c>
      <c r="E38" s="63">
        <f>ROUND(C38/Configuración!$B$4,2)</f>
        <v>82.25</v>
      </c>
      <c r="F38" s="62">
        <f t="shared" si="0"/>
        <v>22.2</v>
      </c>
      <c r="G38" s="63">
        <f t="shared" si="1"/>
        <v>21.09</v>
      </c>
    </row>
    <row r="39" spans="1:7" ht="14.25" customHeight="1">
      <c r="A39" s="59">
        <v>4</v>
      </c>
      <c r="B39" s="60">
        <v>8226</v>
      </c>
      <c r="C39" s="61">
        <v>7814</v>
      </c>
      <c r="D39" s="62">
        <f>ROUND(B39/Configuración!$B$4,2)</f>
        <v>86.59</v>
      </c>
      <c r="E39" s="63">
        <f>ROUND(C39/Configuración!$B$4,2)</f>
        <v>82.25</v>
      </c>
      <c r="F39" s="62">
        <f t="shared" si="0"/>
        <v>21.65</v>
      </c>
      <c r="G39" s="63">
        <f t="shared" si="1"/>
        <v>20.56</v>
      </c>
    </row>
    <row r="40" spans="1:7" ht="14.25" customHeight="1">
      <c r="A40" s="59">
        <v>4.0999999999999996</v>
      </c>
      <c r="B40" s="60">
        <v>9123</v>
      </c>
      <c r="C40" s="61">
        <v>8667</v>
      </c>
      <c r="D40" s="62">
        <f>ROUND(B40/Configuración!$B$4,2)</f>
        <v>96.03</v>
      </c>
      <c r="E40" s="63">
        <f>ROUND(C40/Configuración!$B$4,2)</f>
        <v>91.23</v>
      </c>
      <c r="F40" s="62">
        <f t="shared" si="0"/>
        <v>23.42</v>
      </c>
      <c r="G40" s="63">
        <f t="shared" si="1"/>
        <v>22.25</v>
      </c>
    </row>
    <row r="41" spans="1:7" ht="14.25" customHeight="1">
      <c r="A41" s="59">
        <v>4.2</v>
      </c>
      <c r="B41" s="60">
        <v>9123</v>
      </c>
      <c r="C41" s="61">
        <v>8667</v>
      </c>
      <c r="D41" s="62">
        <f>ROUND(B41/Configuración!$B$4,2)</f>
        <v>96.03</v>
      </c>
      <c r="E41" s="63">
        <f>ROUND(C41/Configuración!$B$4,2)</f>
        <v>91.23</v>
      </c>
      <c r="F41" s="62">
        <f t="shared" si="0"/>
        <v>22.86</v>
      </c>
      <c r="G41" s="63">
        <f t="shared" si="1"/>
        <v>21.72</v>
      </c>
    </row>
    <row r="42" spans="1:7" ht="14.25" customHeight="1">
      <c r="A42" s="59">
        <v>4.3</v>
      </c>
      <c r="B42" s="60">
        <v>9123</v>
      </c>
      <c r="C42" s="61">
        <v>8667</v>
      </c>
      <c r="D42" s="62">
        <f>ROUND(B42/Configuración!$B$4,2)</f>
        <v>96.03</v>
      </c>
      <c r="E42" s="63">
        <f>ROUND(C42/Configuración!$B$4,2)</f>
        <v>91.23</v>
      </c>
      <c r="F42" s="62">
        <f t="shared" si="0"/>
        <v>22.33</v>
      </c>
      <c r="G42" s="63">
        <f t="shared" si="1"/>
        <v>21.22</v>
      </c>
    </row>
    <row r="43" spans="1:7" ht="14.25" customHeight="1">
      <c r="A43" s="59">
        <v>4.4000000000000004</v>
      </c>
      <c r="B43" s="60">
        <v>9123</v>
      </c>
      <c r="C43" s="61">
        <v>8667</v>
      </c>
      <c r="D43" s="62">
        <f>ROUND(B43/Configuración!$B$4,2)</f>
        <v>96.03</v>
      </c>
      <c r="E43" s="63">
        <f>ROUND(C43/Configuración!$B$4,2)</f>
        <v>91.23</v>
      </c>
      <c r="F43" s="62">
        <f t="shared" si="0"/>
        <v>21.83</v>
      </c>
      <c r="G43" s="63">
        <f t="shared" si="1"/>
        <v>20.73</v>
      </c>
    </row>
    <row r="44" spans="1:7" ht="14.25" customHeight="1">
      <c r="A44" s="59">
        <v>4.5</v>
      </c>
      <c r="B44" s="60">
        <v>9123</v>
      </c>
      <c r="C44" s="61">
        <v>8667</v>
      </c>
      <c r="D44" s="62">
        <f>ROUND(B44/Configuración!$B$4,2)</f>
        <v>96.03</v>
      </c>
      <c r="E44" s="63">
        <f>ROUND(C44/Configuración!$B$4,2)</f>
        <v>91.23</v>
      </c>
      <c r="F44" s="62">
        <f t="shared" si="0"/>
        <v>21.34</v>
      </c>
      <c r="G44" s="63">
        <f t="shared" si="1"/>
        <v>20.27</v>
      </c>
    </row>
    <row r="45" spans="1:7" ht="14.25" customHeight="1">
      <c r="A45" s="59">
        <v>4.5999999999999996</v>
      </c>
      <c r="B45" s="60">
        <v>10044</v>
      </c>
      <c r="C45" s="61">
        <v>9542</v>
      </c>
      <c r="D45" s="62">
        <f>ROUND(B45/Configuración!$B$4,2)</f>
        <v>105.73</v>
      </c>
      <c r="E45" s="63">
        <f>ROUND(C45/Configuración!$B$4,2)</f>
        <v>100.44</v>
      </c>
      <c r="F45" s="62">
        <f t="shared" si="0"/>
        <v>22.98</v>
      </c>
      <c r="G45" s="63">
        <f t="shared" si="1"/>
        <v>21.83</v>
      </c>
    </row>
    <row r="46" spans="1:7" ht="14.25" customHeight="1">
      <c r="A46" s="59">
        <v>4.7</v>
      </c>
      <c r="B46" s="60">
        <v>10044</v>
      </c>
      <c r="C46" s="61">
        <v>9542</v>
      </c>
      <c r="D46" s="62">
        <f>ROUND(B46/Configuración!$B$4,2)</f>
        <v>105.73</v>
      </c>
      <c r="E46" s="63">
        <f>ROUND(C46/Configuración!$B$4,2)</f>
        <v>100.44</v>
      </c>
      <c r="F46" s="62">
        <f t="shared" si="0"/>
        <v>22.5</v>
      </c>
      <c r="G46" s="63">
        <f t="shared" si="1"/>
        <v>21.37</v>
      </c>
    </row>
    <row r="47" spans="1:7" ht="14.25" customHeight="1">
      <c r="A47" s="59">
        <v>4.8</v>
      </c>
      <c r="B47" s="60">
        <v>10044</v>
      </c>
      <c r="C47" s="61">
        <v>9542</v>
      </c>
      <c r="D47" s="62">
        <f>ROUND(B47/Configuración!$B$4,2)</f>
        <v>105.73</v>
      </c>
      <c r="E47" s="63">
        <f>ROUND(C47/Configuración!$B$4,2)</f>
        <v>100.44</v>
      </c>
      <c r="F47" s="62">
        <f t="shared" si="0"/>
        <v>22.03</v>
      </c>
      <c r="G47" s="63">
        <f t="shared" si="1"/>
        <v>20.93</v>
      </c>
    </row>
    <row r="48" spans="1:7" ht="14.25" customHeight="1">
      <c r="A48" s="59">
        <v>4.9000000000000004</v>
      </c>
      <c r="B48" s="60">
        <v>10044</v>
      </c>
      <c r="C48" s="61">
        <v>9542</v>
      </c>
      <c r="D48" s="62">
        <f>ROUND(B48/Configuración!$B$4,2)</f>
        <v>105.73</v>
      </c>
      <c r="E48" s="63">
        <f>ROUND(C48/Configuración!$B$4,2)</f>
        <v>100.44</v>
      </c>
      <c r="F48" s="62">
        <f t="shared" si="0"/>
        <v>21.58</v>
      </c>
      <c r="G48" s="63">
        <f t="shared" si="1"/>
        <v>20.5</v>
      </c>
    </row>
    <row r="49" spans="1:7" ht="14.25" customHeight="1">
      <c r="A49" s="59">
        <v>5</v>
      </c>
      <c r="B49" s="60">
        <v>10044</v>
      </c>
      <c r="C49" s="61">
        <v>9542</v>
      </c>
      <c r="D49" s="62">
        <f>ROUND(B49/Configuración!$B$4,2)</f>
        <v>105.73</v>
      </c>
      <c r="E49" s="63">
        <f>ROUND(C49/Configuración!$B$4,2)</f>
        <v>100.44</v>
      </c>
      <c r="F49" s="62">
        <f t="shared" si="0"/>
        <v>21.15</v>
      </c>
      <c r="G49" s="63">
        <f t="shared" si="1"/>
        <v>20.09</v>
      </c>
    </row>
    <row r="50" spans="1:7" ht="14.25" customHeight="1">
      <c r="A50" s="59">
        <v>5.0999999999999996</v>
      </c>
      <c r="B50" s="60">
        <v>9803</v>
      </c>
      <c r="C50" s="61">
        <v>9313</v>
      </c>
      <c r="D50" s="62">
        <f>ROUND(B50/Configuración!$B$4,2)</f>
        <v>103.19</v>
      </c>
      <c r="E50" s="63">
        <f>ROUND(C50/Configuración!$B$4,2)</f>
        <v>98.03</v>
      </c>
      <c r="F50" s="62">
        <f t="shared" si="0"/>
        <v>20.23</v>
      </c>
      <c r="G50" s="63">
        <f t="shared" si="1"/>
        <v>19.22</v>
      </c>
    </row>
    <row r="51" spans="1:7" ht="14.25" customHeight="1">
      <c r="A51" s="59">
        <v>5.2</v>
      </c>
      <c r="B51" s="60">
        <v>9803</v>
      </c>
      <c r="C51" s="61">
        <v>9313</v>
      </c>
      <c r="D51" s="62">
        <f>ROUND(B51/Configuración!$B$4,2)</f>
        <v>103.19</v>
      </c>
      <c r="E51" s="63">
        <f>ROUND(C51/Configuración!$B$4,2)</f>
        <v>98.03</v>
      </c>
      <c r="F51" s="62">
        <f t="shared" si="0"/>
        <v>19.84</v>
      </c>
      <c r="G51" s="63">
        <f t="shared" si="1"/>
        <v>18.850000000000001</v>
      </c>
    </row>
    <row r="52" spans="1:7" ht="14.25" customHeight="1">
      <c r="A52" s="59">
        <v>5.3</v>
      </c>
      <c r="B52" s="60">
        <v>9803</v>
      </c>
      <c r="C52" s="61">
        <v>9313</v>
      </c>
      <c r="D52" s="62">
        <f>ROUND(B52/Configuración!$B$4,2)</f>
        <v>103.19</v>
      </c>
      <c r="E52" s="63">
        <f>ROUND(C52/Configuración!$B$4,2)</f>
        <v>98.03</v>
      </c>
      <c r="F52" s="62">
        <f t="shared" si="0"/>
        <v>19.47</v>
      </c>
      <c r="G52" s="63">
        <f t="shared" si="1"/>
        <v>18.5</v>
      </c>
    </row>
    <row r="53" spans="1:7" ht="14.25" customHeight="1">
      <c r="A53" s="59">
        <v>5.4</v>
      </c>
      <c r="B53" s="60">
        <v>9803</v>
      </c>
      <c r="C53" s="61">
        <v>9313</v>
      </c>
      <c r="D53" s="62">
        <f>ROUND(B53/Configuración!$B$4,2)</f>
        <v>103.19</v>
      </c>
      <c r="E53" s="63">
        <f>ROUND(C53/Configuración!$B$4,2)</f>
        <v>98.03</v>
      </c>
      <c r="F53" s="62">
        <f t="shared" si="0"/>
        <v>19.11</v>
      </c>
      <c r="G53" s="63">
        <f t="shared" si="1"/>
        <v>18.149999999999999</v>
      </c>
    </row>
    <row r="54" spans="1:7" ht="14.25" customHeight="1">
      <c r="A54" s="59">
        <v>5.5</v>
      </c>
      <c r="B54" s="60">
        <v>9803</v>
      </c>
      <c r="C54" s="61">
        <v>9313</v>
      </c>
      <c r="D54" s="62">
        <f>ROUND(B54/Configuración!$B$4,2)</f>
        <v>103.19</v>
      </c>
      <c r="E54" s="63">
        <f>ROUND(C54/Configuración!$B$4,2)</f>
        <v>98.03</v>
      </c>
      <c r="F54" s="62">
        <f t="shared" si="0"/>
        <v>18.760000000000002</v>
      </c>
      <c r="G54" s="63">
        <f t="shared" si="1"/>
        <v>17.82</v>
      </c>
    </row>
    <row r="55" spans="1:7" ht="14.25" customHeight="1">
      <c r="A55" s="59">
        <v>5.6</v>
      </c>
      <c r="B55" s="60">
        <v>10357</v>
      </c>
      <c r="C55" s="61">
        <v>9839</v>
      </c>
      <c r="D55" s="62">
        <f>ROUND(B55/Configuración!$B$4,2)</f>
        <v>109.02</v>
      </c>
      <c r="E55" s="63">
        <f>ROUND(C55/Configuración!$B$4,2)</f>
        <v>103.57</v>
      </c>
      <c r="F55" s="62">
        <f t="shared" si="0"/>
        <v>19.47</v>
      </c>
      <c r="G55" s="63">
        <f t="shared" si="1"/>
        <v>18.489999999999998</v>
      </c>
    </row>
    <row r="56" spans="1:7" ht="14.25" customHeight="1">
      <c r="A56" s="59">
        <v>5.7</v>
      </c>
      <c r="B56" s="60">
        <v>10357</v>
      </c>
      <c r="C56" s="61">
        <v>9839</v>
      </c>
      <c r="D56" s="62">
        <f>ROUND(B56/Configuración!$B$4,2)</f>
        <v>109.02</v>
      </c>
      <c r="E56" s="63">
        <f>ROUND(C56/Configuración!$B$4,2)</f>
        <v>103.57</v>
      </c>
      <c r="F56" s="62">
        <f t="shared" si="0"/>
        <v>19.13</v>
      </c>
      <c r="G56" s="63">
        <f t="shared" si="1"/>
        <v>18.170000000000002</v>
      </c>
    </row>
    <row r="57" spans="1:7" ht="14.25" customHeight="1">
      <c r="A57" s="59">
        <v>5.8</v>
      </c>
      <c r="B57" s="60">
        <v>10357</v>
      </c>
      <c r="C57" s="61">
        <v>9839</v>
      </c>
      <c r="D57" s="62">
        <f>ROUND(B57/Configuración!$B$4,2)</f>
        <v>109.02</v>
      </c>
      <c r="E57" s="63">
        <f>ROUND(C57/Configuración!$B$4,2)</f>
        <v>103.57</v>
      </c>
      <c r="F57" s="62">
        <f t="shared" si="0"/>
        <v>18.8</v>
      </c>
      <c r="G57" s="63">
        <f t="shared" si="1"/>
        <v>17.86</v>
      </c>
    </row>
    <row r="58" spans="1:7" ht="14.25" customHeight="1">
      <c r="A58" s="59">
        <v>5.9</v>
      </c>
      <c r="B58" s="60">
        <v>10357</v>
      </c>
      <c r="C58" s="61">
        <v>9839</v>
      </c>
      <c r="D58" s="62">
        <f>ROUND(B58/Configuración!$B$4,2)</f>
        <v>109.02</v>
      </c>
      <c r="E58" s="63">
        <f>ROUND(C58/Configuración!$B$4,2)</f>
        <v>103.57</v>
      </c>
      <c r="F58" s="62">
        <f t="shared" si="0"/>
        <v>18.48</v>
      </c>
      <c r="G58" s="63">
        <f t="shared" si="1"/>
        <v>17.55</v>
      </c>
    </row>
    <row r="59" spans="1:7" ht="14.25" customHeight="1">
      <c r="A59" s="59">
        <v>6</v>
      </c>
      <c r="B59" s="60">
        <v>10357</v>
      </c>
      <c r="C59" s="61">
        <v>9839</v>
      </c>
      <c r="D59" s="62">
        <f>ROUND(B59/Configuración!$B$4,2)</f>
        <v>109.02</v>
      </c>
      <c r="E59" s="63">
        <f>ROUND(C59/Configuración!$B$4,2)</f>
        <v>103.57</v>
      </c>
      <c r="F59" s="62">
        <f t="shared" si="0"/>
        <v>18.170000000000002</v>
      </c>
      <c r="G59" s="63">
        <f t="shared" si="1"/>
        <v>17.260000000000002</v>
      </c>
    </row>
    <row r="60" spans="1:7" ht="14.25" customHeight="1">
      <c r="A60" s="59">
        <v>6.1</v>
      </c>
      <c r="B60" s="60">
        <v>11529</v>
      </c>
      <c r="C60" s="61">
        <v>10953</v>
      </c>
      <c r="D60" s="62">
        <f>ROUND(B60/Configuración!$B$4,2)</f>
        <v>121.36</v>
      </c>
      <c r="E60" s="63">
        <f>ROUND(C60/Configuración!$B$4,2)</f>
        <v>115.29</v>
      </c>
      <c r="F60" s="62">
        <f t="shared" si="0"/>
        <v>19.899999999999999</v>
      </c>
      <c r="G60" s="63">
        <f t="shared" si="1"/>
        <v>18.899999999999999</v>
      </c>
    </row>
    <row r="61" spans="1:7" ht="14.25" customHeight="1">
      <c r="A61" s="59">
        <v>6.2</v>
      </c>
      <c r="B61" s="60">
        <v>11529</v>
      </c>
      <c r="C61" s="61">
        <v>10953</v>
      </c>
      <c r="D61" s="62">
        <f>ROUND(B61/Configuración!$B$4,2)</f>
        <v>121.36</v>
      </c>
      <c r="E61" s="63">
        <f>ROUND(C61/Configuración!$B$4,2)</f>
        <v>115.29</v>
      </c>
      <c r="F61" s="62">
        <f t="shared" si="0"/>
        <v>19.57</v>
      </c>
      <c r="G61" s="63">
        <f t="shared" si="1"/>
        <v>18.600000000000001</v>
      </c>
    </row>
    <row r="62" spans="1:7" ht="14.25" customHeight="1">
      <c r="A62" s="59">
        <v>6.3</v>
      </c>
      <c r="B62" s="60">
        <v>11529</v>
      </c>
      <c r="C62" s="61">
        <v>10953</v>
      </c>
      <c r="D62" s="62">
        <f>ROUND(B62/Configuración!$B$4,2)</f>
        <v>121.36</v>
      </c>
      <c r="E62" s="63">
        <f>ROUND(C62/Configuración!$B$4,2)</f>
        <v>115.29</v>
      </c>
      <c r="F62" s="62">
        <f t="shared" si="0"/>
        <v>19.260000000000002</v>
      </c>
      <c r="G62" s="63">
        <f t="shared" si="1"/>
        <v>18.3</v>
      </c>
    </row>
    <row r="63" spans="1:7" ht="14.25" customHeight="1">
      <c r="A63" s="59">
        <v>6.4</v>
      </c>
      <c r="B63" s="60">
        <v>11529</v>
      </c>
      <c r="C63" s="61">
        <v>10953</v>
      </c>
      <c r="D63" s="62">
        <f>ROUND(B63/Configuración!$B$4,2)</f>
        <v>121.36</v>
      </c>
      <c r="E63" s="63">
        <f>ROUND(C63/Configuración!$B$4,2)</f>
        <v>115.29</v>
      </c>
      <c r="F63" s="62">
        <f t="shared" si="0"/>
        <v>18.96</v>
      </c>
      <c r="G63" s="63">
        <f t="shared" si="1"/>
        <v>18.010000000000002</v>
      </c>
    </row>
    <row r="64" spans="1:7" ht="14.25" customHeight="1">
      <c r="A64" s="59">
        <v>6.5</v>
      </c>
      <c r="B64" s="60">
        <v>11529</v>
      </c>
      <c r="C64" s="61">
        <v>10953</v>
      </c>
      <c r="D64" s="62">
        <f>ROUND(B64/Configuración!$B$4,2)</f>
        <v>121.36</v>
      </c>
      <c r="E64" s="63">
        <f>ROUND(C64/Configuración!$B$4,2)</f>
        <v>115.29</v>
      </c>
      <c r="F64" s="62">
        <f t="shared" si="0"/>
        <v>18.670000000000002</v>
      </c>
      <c r="G64" s="63">
        <f t="shared" si="1"/>
        <v>17.739999999999998</v>
      </c>
    </row>
    <row r="65" spans="1:7" ht="14.25" customHeight="1">
      <c r="A65" s="59">
        <v>6.6</v>
      </c>
      <c r="B65" s="60">
        <v>12083</v>
      </c>
      <c r="C65" s="61">
        <v>11479</v>
      </c>
      <c r="D65" s="62">
        <f>ROUND(B65/Configuración!$B$4,2)</f>
        <v>127.19</v>
      </c>
      <c r="E65" s="63">
        <f>ROUND(C65/Configuración!$B$4,2)</f>
        <v>120.83</v>
      </c>
      <c r="F65" s="62">
        <f t="shared" si="0"/>
        <v>19.27</v>
      </c>
      <c r="G65" s="63">
        <f t="shared" si="1"/>
        <v>18.309999999999999</v>
      </c>
    </row>
    <row r="66" spans="1:7" ht="14.25" customHeight="1">
      <c r="A66" s="59">
        <v>6.7</v>
      </c>
      <c r="B66" s="60">
        <v>12083</v>
      </c>
      <c r="C66" s="61">
        <v>11479</v>
      </c>
      <c r="D66" s="62">
        <f>ROUND(B66/Configuración!$B$4,2)</f>
        <v>127.19</v>
      </c>
      <c r="E66" s="63">
        <f>ROUND(C66/Configuración!$B$4,2)</f>
        <v>120.83</v>
      </c>
      <c r="F66" s="62">
        <f t="shared" si="0"/>
        <v>18.98</v>
      </c>
      <c r="G66" s="63">
        <f t="shared" si="1"/>
        <v>18.03</v>
      </c>
    </row>
    <row r="67" spans="1:7" ht="14.25" customHeight="1">
      <c r="A67" s="59">
        <v>6.8</v>
      </c>
      <c r="B67" s="60">
        <v>12083</v>
      </c>
      <c r="C67" s="61">
        <v>11479</v>
      </c>
      <c r="D67" s="62">
        <f>ROUND(B67/Configuración!$B$4,2)</f>
        <v>127.19</v>
      </c>
      <c r="E67" s="63">
        <f>ROUND(C67/Configuración!$B$4,2)</f>
        <v>120.83</v>
      </c>
      <c r="F67" s="62">
        <f t="shared" si="0"/>
        <v>18.7</v>
      </c>
      <c r="G67" s="63">
        <f t="shared" si="1"/>
        <v>17.77</v>
      </c>
    </row>
    <row r="68" spans="1:7" ht="14.25" customHeight="1">
      <c r="A68" s="59">
        <v>6.9</v>
      </c>
      <c r="B68" s="60">
        <v>12083</v>
      </c>
      <c r="C68" s="61">
        <v>11479</v>
      </c>
      <c r="D68" s="62">
        <f>ROUND(B68/Configuración!$B$4,2)</f>
        <v>127.19</v>
      </c>
      <c r="E68" s="63">
        <f>ROUND(C68/Configuración!$B$4,2)</f>
        <v>120.83</v>
      </c>
      <c r="F68" s="62">
        <f t="shared" ref="F68:F131" si="2">IF(A68=0,"",ROUND(D68/A68,2))</f>
        <v>18.43</v>
      </c>
      <c r="G68" s="63">
        <f t="shared" ref="G68:G131" si="3">IF(A68=0,"",ROUND(E68/A68,2))</f>
        <v>17.510000000000002</v>
      </c>
    </row>
    <row r="69" spans="1:7" ht="14.25" customHeight="1">
      <c r="A69" s="59">
        <v>7</v>
      </c>
      <c r="B69" s="60">
        <v>12083</v>
      </c>
      <c r="C69" s="61">
        <v>11479</v>
      </c>
      <c r="D69" s="62">
        <f>ROUND(B69/Configuración!$B$4,2)</f>
        <v>127.19</v>
      </c>
      <c r="E69" s="63">
        <f>ROUND(C69/Configuración!$B$4,2)</f>
        <v>120.83</v>
      </c>
      <c r="F69" s="62">
        <f t="shared" si="2"/>
        <v>18.170000000000002</v>
      </c>
      <c r="G69" s="63">
        <f t="shared" si="3"/>
        <v>17.260000000000002</v>
      </c>
    </row>
    <row r="70" spans="1:7" ht="14.25" customHeight="1">
      <c r="A70" s="59">
        <v>7.1</v>
      </c>
      <c r="B70" s="60">
        <v>13255</v>
      </c>
      <c r="C70" s="61">
        <v>12592</v>
      </c>
      <c r="D70" s="62">
        <f>ROUND(B70/Configuración!$B$4,2)</f>
        <v>139.53</v>
      </c>
      <c r="E70" s="63">
        <f>ROUND(C70/Configuración!$B$4,2)</f>
        <v>132.55000000000001</v>
      </c>
      <c r="F70" s="62">
        <f t="shared" si="2"/>
        <v>19.649999999999999</v>
      </c>
      <c r="G70" s="63">
        <f t="shared" si="3"/>
        <v>18.670000000000002</v>
      </c>
    </row>
    <row r="71" spans="1:7" ht="14.25" customHeight="1">
      <c r="A71" s="59">
        <v>7.2</v>
      </c>
      <c r="B71" s="60">
        <v>13255</v>
      </c>
      <c r="C71" s="61">
        <v>12592</v>
      </c>
      <c r="D71" s="62">
        <f>ROUND(B71/Configuración!$B$4,2)</f>
        <v>139.53</v>
      </c>
      <c r="E71" s="63">
        <f>ROUND(C71/Configuración!$B$4,2)</f>
        <v>132.55000000000001</v>
      </c>
      <c r="F71" s="62">
        <f t="shared" si="2"/>
        <v>19.38</v>
      </c>
      <c r="G71" s="63">
        <f t="shared" si="3"/>
        <v>18.41</v>
      </c>
    </row>
    <row r="72" spans="1:7" ht="14.25" customHeight="1">
      <c r="A72" s="59">
        <v>7.3</v>
      </c>
      <c r="B72" s="60">
        <v>13255</v>
      </c>
      <c r="C72" s="61">
        <v>12592</v>
      </c>
      <c r="D72" s="62">
        <f>ROUND(B72/Configuración!$B$4,2)</f>
        <v>139.53</v>
      </c>
      <c r="E72" s="63">
        <f>ROUND(C72/Configuración!$B$4,2)</f>
        <v>132.55000000000001</v>
      </c>
      <c r="F72" s="62">
        <f t="shared" si="2"/>
        <v>19.11</v>
      </c>
      <c r="G72" s="63">
        <f t="shared" si="3"/>
        <v>18.16</v>
      </c>
    </row>
    <row r="73" spans="1:7" ht="14.25" customHeight="1">
      <c r="A73" s="59">
        <v>7.4</v>
      </c>
      <c r="B73" s="60">
        <v>13255</v>
      </c>
      <c r="C73" s="61">
        <v>12592</v>
      </c>
      <c r="D73" s="62">
        <f>ROUND(B73/Configuración!$B$4,2)</f>
        <v>139.53</v>
      </c>
      <c r="E73" s="63">
        <f>ROUND(C73/Configuración!$B$4,2)</f>
        <v>132.55000000000001</v>
      </c>
      <c r="F73" s="62">
        <f t="shared" si="2"/>
        <v>18.86</v>
      </c>
      <c r="G73" s="63">
        <f t="shared" si="3"/>
        <v>17.91</v>
      </c>
    </row>
    <row r="74" spans="1:7" ht="14.25" customHeight="1">
      <c r="A74" s="59">
        <v>7.5</v>
      </c>
      <c r="B74" s="60">
        <v>13255</v>
      </c>
      <c r="C74" s="61">
        <v>12592</v>
      </c>
      <c r="D74" s="62">
        <f>ROUND(B74/Configuración!$B$4,2)</f>
        <v>139.53</v>
      </c>
      <c r="E74" s="63">
        <f>ROUND(C74/Configuración!$B$4,2)</f>
        <v>132.55000000000001</v>
      </c>
      <c r="F74" s="62">
        <f t="shared" si="2"/>
        <v>18.600000000000001</v>
      </c>
      <c r="G74" s="63">
        <f t="shared" si="3"/>
        <v>17.670000000000002</v>
      </c>
    </row>
    <row r="75" spans="1:7" ht="14.25" customHeight="1">
      <c r="A75" s="59">
        <v>7.6</v>
      </c>
      <c r="B75" s="60">
        <v>13809</v>
      </c>
      <c r="C75" s="61">
        <v>13118</v>
      </c>
      <c r="D75" s="62">
        <f>ROUND(B75/Configuración!$B$4,2)</f>
        <v>145.36000000000001</v>
      </c>
      <c r="E75" s="63">
        <f>ROUND(C75/Configuración!$B$4,2)</f>
        <v>138.08000000000001</v>
      </c>
      <c r="F75" s="62">
        <f t="shared" si="2"/>
        <v>19.13</v>
      </c>
      <c r="G75" s="63">
        <f t="shared" si="3"/>
        <v>18.170000000000002</v>
      </c>
    </row>
    <row r="76" spans="1:7" ht="14.25" customHeight="1">
      <c r="A76" s="59">
        <v>7.7</v>
      </c>
      <c r="B76" s="60">
        <v>13809</v>
      </c>
      <c r="C76" s="61">
        <v>13118</v>
      </c>
      <c r="D76" s="62">
        <f>ROUND(B76/Configuración!$B$4,2)</f>
        <v>145.36000000000001</v>
      </c>
      <c r="E76" s="63">
        <f>ROUND(C76/Configuración!$B$4,2)</f>
        <v>138.08000000000001</v>
      </c>
      <c r="F76" s="62">
        <f t="shared" si="2"/>
        <v>18.88</v>
      </c>
      <c r="G76" s="63">
        <f t="shared" si="3"/>
        <v>17.93</v>
      </c>
    </row>
    <row r="77" spans="1:7" ht="14.25" customHeight="1">
      <c r="A77" s="59">
        <v>7.8</v>
      </c>
      <c r="B77" s="60">
        <v>13809</v>
      </c>
      <c r="C77" s="61">
        <v>13118</v>
      </c>
      <c r="D77" s="62">
        <f>ROUND(B77/Configuración!$B$4,2)</f>
        <v>145.36000000000001</v>
      </c>
      <c r="E77" s="63">
        <f>ROUND(C77/Configuración!$B$4,2)</f>
        <v>138.08000000000001</v>
      </c>
      <c r="F77" s="62">
        <f t="shared" si="2"/>
        <v>18.64</v>
      </c>
      <c r="G77" s="63">
        <f t="shared" si="3"/>
        <v>17.7</v>
      </c>
    </row>
    <row r="78" spans="1:7" ht="14.25" customHeight="1">
      <c r="A78" s="59">
        <v>7.9</v>
      </c>
      <c r="B78" s="60">
        <v>13809</v>
      </c>
      <c r="C78" s="61">
        <v>13118</v>
      </c>
      <c r="D78" s="62">
        <f>ROUND(B78/Configuración!$B$4,2)</f>
        <v>145.36000000000001</v>
      </c>
      <c r="E78" s="63">
        <f>ROUND(C78/Configuración!$B$4,2)</f>
        <v>138.08000000000001</v>
      </c>
      <c r="F78" s="62">
        <f t="shared" si="2"/>
        <v>18.399999999999999</v>
      </c>
      <c r="G78" s="63">
        <f t="shared" si="3"/>
        <v>17.48</v>
      </c>
    </row>
    <row r="79" spans="1:7" ht="14.25" customHeight="1">
      <c r="A79" s="59">
        <v>8</v>
      </c>
      <c r="B79" s="60">
        <v>13809</v>
      </c>
      <c r="C79" s="61">
        <v>13118</v>
      </c>
      <c r="D79" s="62">
        <f>ROUND(B79/Configuración!$B$4,2)</f>
        <v>145.36000000000001</v>
      </c>
      <c r="E79" s="63">
        <f>ROUND(C79/Configuración!$B$4,2)</f>
        <v>138.08000000000001</v>
      </c>
      <c r="F79" s="62">
        <f t="shared" si="2"/>
        <v>18.170000000000002</v>
      </c>
      <c r="G79" s="63">
        <f t="shared" si="3"/>
        <v>17.260000000000002</v>
      </c>
    </row>
    <row r="80" spans="1:7" ht="14.25" customHeight="1">
      <c r="A80" s="59">
        <v>8.1</v>
      </c>
      <c r="B80" s="60">
        <v>14981</v>
      </c>
      <c r="C80" s="61">
        <v>14232</v>
      </c>
      <c r="D80" s="62">
        <f>ROUND(B80/Configuración!$B$4,2)</f>
        <v>157.69</v>
      </c>
      <c r="E80" s="63">
        <f>ROUND(C80/Configuración!$B$4,2)</f>
        <v>149.81</v>
      </c>
      <c r="F80" s="62">
        <f t="shared" si="2"/>
        <v>19.47</v>
      </c>
      <c r="G80" s="63">
        <f t="shared" si="3"/>
        <v>18.5</v>
      </c>
    </row>
    <row r="81" spans="1:7" ht="14.25" customHeight="1">
      <c r="A81" s="59">
        <v>8.1999999999999993</v>
      </c>
      <c r="B81" s="60">
        <v>14981</v>
      </c>
      <c r="C81" s="61">
        <v>14232</v>
      </c>
      <c r="D81" s="62">
        <f>ROUND(B81/Configuración!$B$4,2)</f>
        <v>157.69</v>
      </c>
      <c r="E81" s="63">
        <f>ROUND(C81/Configuración!$B$4,2)</f>
        <v>149.81</v>
      </c>
      <c r="F81" s="62">
        <f t="shared" si="2"/>
        <v>19.23</v>
      </c>
      <c r="G81" s="63">
        <f t="shared" si="3"/>
        <v>18.27</v>
      </c>
    </row>
    <row r="82" spans="1:7" ht="14.25" customHeight="1">
      <c r="A82" s="59">
        <v>8.3000000000000007</v>
      </c>
      <c r="B82" s="60">
        <v>14981</v>
      </c>
      <c r="C82" s="61">
        <v>14232</v>
      </c>
      <c r="D82" s="62">
        <f>ROUND(B82/Configuración!$B$4,2)</f>
        <v>157.69</v>
      </c>
      <c r="E82" s="63">
        <f>ROUND(C82/Configuración!$B$4,2)</f>
        <v>149.81</v>
      </c>
      <c r="F82" s="62">
        <f t="shared" si="2"/>
        <v>19</v>
      </c>
      <c r="G82" s="63">
        <f t="shared" si="3"/>
        <v>18.05</v>
      </c>
    </row>
    <row r="83" spans="1:7" ht="14.25" customHeight="1">
      <c r="A83" s="59">
        <v>8.4</v>
      </c>
      <c r="B83" s="60">
        <v>14981</v>
      </c>
      <c r="C83" s="61">
        <v>14232</v>
      </c>
      <c r="D83" s="62">
        <f>ROUND(B83/Configuración!$B$4,2)</f>
        <v>157.69</v>
      </c>
      <c r="E83" s="63">
        <f>ROUND(C83/Configuración!$B$4,2)</f>
        <v>149.81</v>
      </c>
      <c r="F83" s="62">
        <f t="shared" si="2"/>
        <v>18.77</v>
      </c>
      <c r="G83" s="63">
        <f t="shared" si="3"/>
        <v>17.829999999999998</v>
      </c>
    </row>
    <row r="84" spans="1:7" ht="14.25" customHeight="1">
      <c r="A84" s="59">
        <v>8.5</v>
      </c>
      <c r="B84" s="60">
        <v>14981</v>
      </c>
      <c r="C84" s="61">
        <v>14232</v>
      </c>
      <c r="D84" s="62">
        <f>ROUND(B84/Configuración!$B$4,2)</f>
        <v>157.69</v>
      </c>
      <c r="E84" s="63">
        <f>ROUND(C84/Configuración!$B$4,2)</f>
        <v>149.81</v>
      </c>
      <c r="F84" s="62">
        <f t="shared" si="2"/>
        <v>18.55</v>
      </c>
      <c r="G84" s="63">
        <f t="shared" si="3"/>
        <v>17.62</v>
      </c>
    </row>
    <row r="85" spans="1:7" ht="14.25" customHeight="1">
      <c r="A85" s="59">
        <v>8.6</v>
      </c>
      <c r="B85" s="60">
        <v>15535</v>
      </c>
      <c r="C85" s="61">
        <v>14758</v>
      </c>
      <c r="D85" s="62">
        <f>ROUND(B85/Configuración!$B$4,2)</f>
        <v>163.53</v>
      </c>
      <c r="E85" s="63">
        <f>ROUND(C85/Configuración!$B$4,2)</f>
        <v>155.35</v>
      </c>
      <c r="F85" s="62">
        <f t="shared" si="2"/>
        <v>19.02</v>
      </c>
      <c r="G85" s="63">
        <f t="shared" si="3"/>
        <v>18.059999999999999</v>
      </c>
    </row>
    <row r="86" spans="1:7" ht="14.25" customHeight="1">
      <c r="A86" s="59">
        <v>8.6999999999999993</v>
      </c>
      <c r="B86" s="60">
        <v>15535</v>
      </c>
      <c r="C86" s="61">
        <v>14758</v>
      </c>
      <c r="D86" s="62">
        <f>ROUND(B86/Configuración!$B$4,2)</f>
        <v>163.53</v>
      </c>
      <c r="E86" s="63">
        <f>ROUND(C86/Configuración!$B$4,2)</f>
        <v>155.35</v>
      </c>
      <c r="F86" s="62">
        <f t="shared" si="2"/>
        <v>18.8</v>
      </c>
      <c r="G86" s="63">
        <f t="shared" si="3"/>
        <v>17.86</v>
      </c>
    </row>
    <row r="87" spans="1:7" ht="14.25" customHeight="1">
      <c r="A87" s="59">
        <v>8.8000000000000007</v>
      </c>
      <c r="B87" s="60">
        <v>15535</v>
      </c>
      <c r="C87" s="61">
        <v>14758</v>
      </c>
      <c r="D87" s="62">
        <f>ROUND(B87/Configuración!$B$4,2)</f>
        <v>163.53</v>
      </c>
      <c r="E87" s="63">
        <f>ROUND(C87/Configuración!$B$4,2)</f>
        <v>155.35</v>
      </c>
      <c r="F87" s="62">
        <f t="shared" si="2"/>
        <v>18.579999999999998</v>
      </c>
      <c r="G87" s="63">
        <f t="shared" si="3"/>
        <v>17.649999999999999</v>
      </c>
    </row>
    <row r="88" spans="1:7" ht="14.25" customHeight="1">
      <c r="A88" s="59">
        <v>8.9</v>
      </c>
      <c r="B88" s="60">
        <v>15535</v>
      </c>
      <c r="C88" s="61">
        <v>14758</v>
      </c>
      <c r="D88" s="62">
        <f>ROUND(B88/Configuración!$B$4,2)</f>
        <v>163.53</v>
      </c>
      <c r="E88" s="63">
        <f>ROUND(C88/Configuración!$B$4,2)</f>
        <v>155.35</v>
      </c>
      <c r="F88" s="62">
        <f t="shared" si="2"/>
        <v>18.37</v>
      </c>
      <c r="G88" s="63">
        <f t="shared" si="3"/>
        <v>17.46</v>
      </c>
    </row>
    <row r="89" spans="1:7" ht="14.25" customHeight="1">
      <c r="A89" s="59">
        <v>9</v>
      </c>
      <c r="B89" s="60">
        <v>15535</v>
      </c>
      <c r="C89" s="61">
        <v>14758</v>
      </c>
      <c r="D89" s="62">
        <f>ROUND(B89/Configuración!$B$4,2)</f>
        <v>163.53</v>
      </c>
      <c r="E89" s="63">
        <f>ROUND(C89/Configuración!$B$4,2)</f>
        <v>155.35</v>
      </c>
      <c r="F89" s="62">
        <f t="shared" si="2"/>
        <v>18.170000000000002</v>
      </c>
      <c r="G89" s="63">
        <f t="shared" si="3"/>
        <v>17.260000000000002</v>
      </c>
    </row>
    <row r="90" spans="1:7" ht="14.25" customHeight="1">
      <c r="A90" s="59">
        <v>9.1</v>
      </c>
      <c r="B90" s="60">
        <v>16707</v>
      </c>
      <c r="C90" s="61">
        <v>15872</v>
      </c>
      <c r="D90" s="62">
        <f>ROUND(B90/Configuración!$B$4,2)</f>
        <v>175.86</v>
      </c>
      <c r="E90" s="63">
        <f>ROUND(C90/Configuración!$B$4,2)</f>
        <v>167.07</v>
      </c>
      <c r="F90" s="62">
        <f t="shared" si="2"/>
        <v>19.329999999999998</v>
      </c>
      <c r="G90" s="63">
        <f t="shared" si="3"/>
        <v>18.36</v>
      </c>
    </row>
    <row r="91" spans="1:7" ht="14.25" customHeight="1">
      <c r="A91" s="59">
        <v>9.1999999999999993</v>
      </c>
      <c r="B91" s="60">
        <v>16707</v>
      </c>
      <c r="C91" s="61">
        <v>15872</v>
      </c>
      <c r="D91" s="62">
        <f>ROUND(B91/Configuración!$B$4,2)</f>
        <v>175.86</v>
      </c>
      <c r="E91" s="63">
        <f>ROUND(C91/Configuración!$B$4,2)</f>
        <v>167.07</v>
      </c>
      <c r="F91" s="62">
        <f t="shared" si="2"/>
        <v>19.12</v>
      </c>
      <c r="G91" s="63">
        <f t="shared" si="3"/>
        <v>18.16</v>
      </c>
    </row>
    <row r="92" spans="1:7" ht="14.25" customHeight="1">
      <c r="A92" s="59">
        <v>9.3000000000000007</v>
      </c>
      <c r="B92" s="60">
        <v>16707</v>
      </c>
      <c r="C92" s="61">
        <v>15872</v>
      </c>
      <c r="D92" s="62">
        <f>ROUND(B92/Configuración!$B$4,2)</f>
        <v>175.86</v>
      </c>
      <c r="E92" s="63">
        <f>ROUND(C92/Configuración!$B$4,2)</f>
        <v>167.07</v>
      </c>
      <c r="F92" s="62">
        <f t="shared" si="2"/>
        <v>18.91</v>
      </c>
      <c r="G92" s="63">
        <f t="shared" si="3"/>
        <v>17.96</v>
      </c>
    </row>
    <row r="93" spans="1:7" ht="14.25" customHeight="1">
      <c r="A93" s="59">
        <v>9.4</v>
      </c>
      <c r="B93" s="60">
        <v>16707</v>
      </c>
      <c r="C93" s="61">
        <v>15872</v>
      </c>
      <c r="D93" s="62">
        <f>ROUND(B93/Configuración!$B$4,2)</f>
        <v>175.86</v>
      </c>
      <c r="E93" s="63">
        <f>ROUND(C93/Configuración!$B$4,2)</f>
        <v>167.07</v>
      </c>
      <c r="F93" s="62">
        <f t="shared" si="2"/>
        <v>18.71</v>
      </c>
      <c r="G93" s="63">
        <f t="shared" si="3"/>
        <v>17.77</v>
      </c>
    </row>
    <row r="94" spans="1:7" ht="14.25" customHeight="1">
      <c r="A94" s="59">
        <v>9.5</v>
      </c>
      <c r="B94" s="60">
        <v>16707</v>
      </c>
      <c r="C94" s="61">
        <v>15872</v>
      </c>
      <c r="D94" s="62">
        <f>ROUND(B94/Configuración!$B$4,2)</f>
        <v>175.86</v>
      </c>
      <c r="E94" s="63">
        <f>ROUND(C94/Configuración!$B$4,2)</f>
        <v>167.07</v>
      </c>
      <c r="F94" s="62">
        <f t="shared" si="2"/>
        <v>18.510000000000002</v>
      </c>
      <c r="G94" s="63">
        <f t="shared" si="3"/>
        <v>17.59</v>
      </c>
    </row>
    <row r="95" spans="1:7" ht="14.25" customHeight="1">
      <c r="A95" s="59">
        <v>9.6</v>
      </c>
      <c r="B95" s="60">
        <v>17261</v>
      </c>
      <c r="C95" s="61">
        <v>16398</v>
      </c>
      <c r="D95" s="62">
        <f>ROUND(B95/Configuración!$B$4,2)</f>
        <v>181.69</v>
      </c>
      <c r="E95" s="63">
        <f>ROUND(C95/Configuración!$B$4,2)</f>
        <v>172.61</v>
      </c>
      <c r="F95" s="62">
        <f t="shared" si="2"/>
        <v>18.93</v>
      </c>
      <c r="G95" s="63">
        <f t="shared" si="3"/>
        <v>17.98</v>
      </c>
    </row>
    <row r="96" spans="1:7" ht="14.25" customHeight="1">
      <c r="A96" s="59">
        <v>9.6999999999999993</v>
      </c>
      <c r="B96" s="60">
        <v>17261</v>
      </c>
      <c r="C96" s="61">
        <v>16398</v>
      </c>
      <c r="D96" s="62">
        <f>ROUND(B96/Configuración!$B$4,2)</f>
        <v>181.69</v>
      </c>
      <c r="E96" s="63">
        <f>ROUND(C96/Configuración!$B$4,2)</f>
        <v>172.61</v>
      </c>
      <c r="F96" s="62">
        <f t="shared" si="2"/>
        <v>18.73</v>
      </c>
      <c r="G96" s="63">
        <f t="shared" si="3"/>
        <v>17.79</v>
      </c>
    </row>
    <row r="97" spans="1:7" ht="14.25" customHeight="1">
      <c r="A97" s="59">
        <v>9.8000000000000007</v>
      </c>
      <c r="B97" s="60">
        <v>17261</v>
      </c>
      <c r="C97" s="61">
        <v>16398</v>
      </c>
      <c r="D97" s="62">
        <f>ROUND(B97/Configuración!$B$4,2)</f>
        <v>181.69</v>
      </c>
      <c r="E97" s="63">
        <f>ROUND(C97/Configuración!$B$4,2)</f>
        <v>172.61</v>
      </c>
      <c r="F97" s="62">
        <f t="shared" si="2"/>
        <v>18.54</v>
      </c>
      <c r="G97" s="63">
        <f t="shared" si="3"/>
        <v>17.61</v>
      </c>
    </row>
    <row r="98" spans="1:7" ht="14.25" customHeight="1">
      <c r="A98" s="59">
        <v>9.9</v>
      </c>
      <c r="B98" s="60">
        <v>17261</v>
      </c>
      <c r="C98" s="61">
        <v>16398</v>
      </c>
      <c r="D98" s="62">
        <f>ROUND(B98/Configuración!$B$4,2)</f>
        <v>181.69</v>
      </c>
      <c r="E98" s="63">
        <f>ROUND(C98/Configuración!$B$4,2)</f>
        <v>172.61</v>
      </c>
      <c r="F98" s="62">
        <f t="shared" si="2"/>
        <v>18.350000000000001</v>
      </c>
      <c r="G98" s="63">
        <f t="shared" si="3"/>
        <v>17.440000000000001</v>
      </c>
    </row>
    <row r="99" spans="1:7" ht="14.25" customHeight="1">
      <c r="A99" s="59">
        <v>10</v>
      </c>
      <c r="B99" s="60">
        <v>17261</v>
      </c>
      <c r="C99" s="61">
        <v>16398</v>
      </c>
      <c r="D99" s="62">
        <f>ROUND(B99/Configuración!$B$4,2)</f>
        <v>181.69</v>
      </c>
      <c r="E99" s="63">
        <f>ROUND(C99/Configuración!$B$4,2)</f>
        <v>172.61</v>
      </c>
      <c r="F99" s="62">
        <f t="shared" si="2"/>
        <v>18.170000000000002</v>
      </c>
      <c r="G99" s="63">
        <f t="shared" si="3"/>
        <v>17.260000000000002</v>
      </c>
    </row>
    <row r="100" spans="1:7" ht="14.25" customHeight="1">
      <c r="A100" s="59">
        <v>10.1</v>
      </c>
      <c r="B100" s="60">
        <v>17274</v>
      </c>
      <c r="C100" s="61">
        <v>16410</v>
      </c>
      <c r="D100" s="62">
        <f>ROUND(B100/Configuración!$B$4,2)</f>
        <v>181.83</v>
      </c>
      <c r="E100" s="63">
        <f>ROUND(C100/Configuración!$B$4,2)</f>
        <v>172.74</v>
      </c>
      <c r="F100" s="62">
        <f t="shared" si="2"/>
        <v>18</v>
      </c>
      <c r="G100" s="63">
        <f t="shared" si="3"/>
        <v>17.100000000000001</v>
      </c>
    </row>
    <row r="101" spans="1:7" ht="14.25" customHeight="1">
      <c r="A101" s="59">
        <v>10.199999999999999</v>
      </c>
      <c r="B101" s="60">
        <v>17274</v>
      </c>
      <c r="C101" s="61">
        <v>16410</v>
      </c>
      <c r="D101" s="62">
        <f>ROUND(B101/Configuración!$B$4,2)</f>
        <v>181.83</v>
      </c>
      <c r="E101" s="63">
        <f>ROUND(C101/Configuración!$B$4,2)</f>
        <v>172.74</v>
      </c>
      <c r="F101" s="62">
        <f t="shared" si="2"/>
        <v>17.829999999999998</v>
      </c>
      <c r="G101" s="63">
        <f t="shared" si="3"/>
        <v>16.940000000000001</v>
      </c>
    </row>
    <row r="102" spans="1:7" ht="14.25" customHeight="1">
      <c r="A102" s="59">
        <v>10.3</v>
      </c>
      <c r="B102" s="60">
        <v>17274</v>
      </c>
      <c r="C102" s="61">
        <v>16410</v>
      </c>
      <c r="D102" s="62">
        <f>ROUND(B102/Configuración!$B$4,2)</f>
        <v>181.83</v>
      </c>
      <c r="E102" s="63">
        <f>ROUND(C102/Configuración!$B$4,2)</f>
        <v>172.74</v>
      </c>
      <c r="F102" s="62">
        <f t="shared" si="2"/>
        <v>17.649999999999999</v>
      </c>
      <c r="G102" s="63">
        <f t="shared" si="3"/>
        <v>16.77</v>
      </c>
    </row>
    <row r="103" spans="1:7" ht="14.25" customHeight="1">
      <c r="A103" s="59">
        <v>10.4</v>
      </c>
      <c r="B103" s="60">
        <v>17274</v>
      </c>
      <c r="C103" s="61">
        <v>16410</v>
      </c>
      <c r="D103" s="62">
        <f>ROUND(B103/Configuración!$B$4,2)</f>
        <v>181.83</v>
      </c>
      <c r="E103" s="63">
        <f>ROUND(C103/Configuración!$B$4,2)</f>
        <v>172.74</v>
      </c>
      <c r="F103" s="62">
        <f t="shared" si="2"/>
        <v>17.48</v>
      </c>
      <c r="G103" s="63">
        <f t="shared" si="3"/>
        <v>16.61</v>
      </c>
    </row>
    <row r="104" spans="1:7" ht="14.25" customHeight="1">
      <c r="A104" s="59">
        <v>10.5</v>
      </c>
      <c r="B104" s="60">
        <v>17274</v>
      </c>
      <c r="C104" s="61">
        <v>16410</v>
      </c>
      <c r="D104" s="62">
        <f>ROUND(B104/Configuración!$B$4,2)</f>
        <v>181.83</v>
      </c>
      <c r="E104" s="63">
        <f>ROUND(C104/Configuración!$B$4,2)</f>
        <v>172.74</v>
      </c>
      <c r="F104" s="62">
        <f t="shared" si="2"/>
        <v>17.32</v>
      </c>
      <c r="G104" s="63">
        <f t="shared" si="3"/>
        <v>16.45</v>
      </c>
    </row>
    <row r="105" spans="1:7" ht="14.25" customHeight="1">
      <c r="A105" s="59">
        <v>10.6</v>
      </c>
      <c r="B105" s="60">
        <v>17367</v>
      </c>
      <c r="C105" s="61">
        <v>16499</v>
      </c>
      <c r="D105" s="62">
        <f>ROUND(B105/Configuración!$B$4,2)</f>
        <v>182.81</v>
      </c>
      <c r="E105" s="63">
        <f>ROUND(C105/Configuración!$B$4,2)</f>
        <v>173.67</v>
      </c>
      <c r="F105" s="62">
        <f t="shared" si="2"/>
        <v>17.25</v>
      </c>
      <c r="G105" s="63">
        <f t="shared" si="3"/>
        <v>16.38</v>
      </c>
    </row>
    <row r="106" spans="1:7" ht="14.25" customHeight="1">
      <c r="A106" s="59">
        <v>10.7</v>
      </c>
      <c r="B106" s="60">
        <v>17367</v>
      </c>
      <c r="C106" s="61">
        <v>16499</v>
      </c>
      <c r="D106" s="62">
        <f>ROUND(B106/Configuración!$B$4,2)</f>
        <v>182.81</v>
      </c>
      <c r="E106" s="63">
        <f>ROUND(C106/Configuración!$B$4,2)</f>
        <v>173.67</v>
      </c>
      <c r="F106" s="62">
        <f t="shared" si="2"/>
        <v>17.09</v>
      </c>
      <c r="G106" s="63">
        <f t="shared" si="3"/>
        <v>16.23</v>
      </c>
    </row>
    <row r="107" spans="1:7" ht="14.25" customHeight="1">
      <c r="A107" s="59">
        <v>10.8</v>
      </c>
      <c r="B107" s="60">
        <v>17367</v>
      </c>
      <c r="C107" s="61">
        <v>16499</v>
      </c>
      <c r="D107" s="62">
        <f>ROUND(B107/Configuración!$B$4,2)</f>
        <v>182.81</v>
      </c>
      <c r="E107" s="63">
        <f>ROUND(C107/Configuración!$B$4,2)</f>
        <v>173.67</v>
      </c>
      <c r="F107" s="62">
        <f t="shared" si="2"/>
        <v>16.93</v>
      </c>
      <c r="G107" s="63">
        <f t="shared" si="3"/>
        <v>16.079999999999998</v>
      </c>
    </row>
    <row r="108" spans="1:7" ht="14.25" customHeight="1">
      <c r="A108" s="59">
        <v>10.9</v>
      </c>
      <c r="B108" s="60">
        <v>17367</v>
      </c>
      <c r="C108" s="61">
        <v>16499</v>
      </c>
      <c r="D108" s="62">
        <f>ROUND(B108/Configuración!$B$4,2)</f>
        <v>182.81</v>
      </c>
      <c r="E108" s="63">
        <f>ROUND(C108/Configuración!$B$4,2)</f>
        <v>173.67</v>
      </c>
      <c r="F108" s="62">
        <f t="shared" si="2"/>
        <v>16.77</v>
      </c>
      <c r="G108" s="63">
        <f t="shared" si="3"/>
        <v>15.93</v>
      </c>
    </row>
    <row r="109" spans="1:7" ht="14.25" customHeight="1">
      <c r="A109" s="59">
        <v>11</v>
      </c>
      <c r="B109" s="60">
        <v>17367</v>
      </c>
      <c r="C109" s="61">
        <v>16499</v>
      </c>
      <c r="D109" s="62">
        <f>ROUND(B109/Configuración!$B$4,2)</f>
        <v>182.81</v>
      </c>
      <c r="E109" s="63">
        <f>ROUND(C109/Configuración!$B$4,2)</f>
        <v>173.67</v>
      </c>
      <c r="F109" s="62">
        <f t="shared" si="2"/>
        <v>16.62</v>
      </c>
      <c r="G109" s="63">
        <f t="shared" si="3"/>
        <v>15.79</v>
      </c>
    </row>
    <row r="110" spans="1:7" ht="14.25" customHeight="1">
      <c r="A110" s="59">
        <v>11.1</v>
      </c>
      <c r="B110" s="60">
        <v>18853</v>
      </c>
      <c r="C110" s="61">
        <v>17910</v>
      </c>
      <c r="D110" s="62">
        <f>ROUND(B110/Configuración!$B$4,2)</f>
        <v>198.45</v>
      </c>
      <c r="E110" s="63">
        <f>ROUND(C110/Configuración!$B$4,2)</f>
        <v>188.53</v>
      </c>
      <c r="F110" s="62">
        <f t="shared" si="2"/>
        <v>17.88</v>
      </c>
      <c r="G110" s="63">
        <f t="shared" si="3"/>
        <v>16.98</v>
      </c>
    </row>
    <row r="111" spans="1:7" ht="14.25" customHeight="1">
      <c r="A111" s="59">
        <v>11.2</v>
      </c>
      <c r="B111" s="60">
        <v>18853</v>
      </c>
      <c r="C111" s="61">
        <v>17910</v>
      </c>
      <c r="D111" s="62">
        <f>ROUND(B111/Configuración!$B$4,2)</f>
        <v>198.45</v>
      </c>
      <c r="E111" s="63">
        <f>ROUND(C111/Configuración!$B$4,2)</f>
        <v>188.53</v>
      </c>
      <c r="F111" s="62">
        <f t="shared" si="2"/>
        <v>17.72</v>
      </c>
      <c r="G111" s="63">
        <f t="shared" si="3"/>
        <v>16.829999999999998</v>
      </c>
    </row>
    <row r="112" spans="1:7" ht="14.25" customHeight="1">
      <c r="A112" s="59">
        <v>11.3</v>
      </c>
      <c r="B112" s="60">
        <v>18853</v>
      </c>
      <c r="C112" s="61">
        <v>17910</v>
      </c>
      <c r="D112" s="62">
        <f>ROUND(B112/Configuración!$B$4,2)</f>
        <v>198.45</v>
      </c>
      <c r="E112" s="63">
        <f>ROUND(C112/Configuración!$B$4,2)</f>
        <v>188.53</v>
      </c>
      <c r="F112" s="62">
        <f t="shared" si="2"/>
        <v>17.559999999999999</v>
      </c>
      <c r="G112" s="63">
        <f t="shared" si="3"/>
        <v>16.68</v>
      </c>
    </row>
    <row r="113" spans="1:7" ht="14.25" customHeight="1">
      <c r="A113" s="59">
        <v>11.4</v>
      </c>
      <c r="B113" s="60">
        <v>18853</v>
      </c>
      <c r="C113" s="61">
        <v>17910</v>
      </c>
      <c r="D113" s="62">
        <f>ROUND(B113/Configuración!$B$4,2)</f>
        <v>198.45</v>
      </c>
      <c r="E113" s="63">
        <f>ROUND(C113/Configuración!$B$4,2)</f>
        <v>188.53</v>
      </c>
      <c r="F113" s="62">
        <f t="shared" si="2"/>
        <v>17.41</v>
      </c>
      <c r="G113" s="63">
        <f t="shared" si="3"/>
        <v>16.54</v>
      </c>
    </row>
    <row r="114" spans="1:7" ht="14.25" customHeight="1">
      <c r="A114" s="59">
        <v>11.5</v>
      </c>
      <c r="B114" s="60">
        <v>18853</v>
      </c>
      <c r="C114" s="61">
        <v>17910</v>
      </c>
      <c r="D114" s="62">
        <f>ROUND(B114/Configuración!$B$4,2)</f>
        <v>198.45</v>
      </c>
      <c r="E114" s="63">
        <f>ROUND(C114/Configuración!$B$4,2)</f>
        <v>188.53</v>
      </c>
      <c r="F114" s="62">
        <f t="shared" si="2"/>
        <v>17.260000000000002</v>
      </c>
      <c r="G114" s="63">
        <f t="shared" si="3"/>
        <v>16.39</v>
      </c>
    </row>
    <row r="115" spans="1:7" ht="14.25" customHeight="1">
      <c r="A115" s="59">
        <v>11.6</v>
      </c>
      <c r="B115" s="60">
        <v>18946</v>
      </c>
      <c r="C115" s="61">
        <v>17999</v>
      </c>
      <c r="D115" s="62">
        <f>ROUND(B115/Configuración!$B$4,2)</f>
        <v>199.43</v>
      </c>
      <c r="E115" s="63">
        <f>ROUND(C115/Configuración!$B$4,2)</f>
        <v>189.46</v>
      </c>
      <c r="F115" s="62">
        <f t="shared" si="2"/>
        <v>17.190000000000001</v>
      </c>
      <c r="G115" s="63">
        <f t="shared" si="3"/>
        <v>16.329999999999998</v>
      </c>
    </row>
    <row r="116" spans="1:7" ht="14.25" customHeight="1">
      <c r="A116" s="59">
        <v>11.7</v>
      </c>
      <c r="B116" s="60">
        <v>18946</v>
      </c>
      <c r="C116" s="61">
        <v>17999</v>
      </c>
      <c r="D116" s="62">
        <f>ROUND(B116/Configuración!$B$4,2)</f>
        <v>199.43</v>
      </c>
      <c r="E116" s="63">
        <f>ROUND(C116/Configuración!$B$4,2)</f>
        <v>189.46</v>
      </c>
      <c r="F116" s="62">
        <f t="shared" si="2"/>
        <v>17.05</v>
      </c>
      <c r="G116" s="63">
        <f t="shared" si="3"/>
        <v>16.190000000000001</v>
      </c>
    </row>
    <row r="117" spans="1:7" ht="14.25" customHeight="1">
      <c r="A117" s="59">
        <v>11.8</v>
      </c>
      <c r="B117" s="60">
        <v>18946</v>
      </c>
      <c r="C117" s="61">
        <v>17999</v>
      </c>
      <c r="D117" s="62">
        <f>ROUND(B117/Configuración!$B$4,2)</f>
        <v>199.43</v>
      </c>
      <c r="E117" s="63">
        <f>ROUND(C117/Configuración!$B$4,2)</f>
        <v>189.46</v>
      </c>
      <c r="F117" s="62">
        <f t="shared" si="2"/>
        <v>16.899999999999999</v>
      </c>
      <c r="G117" s="63">
        <f t="shared" si="3"/>
        <v>16.059999999999999</v>
      </c>
    </row>
    <row r="118" spans="1:7" ht="14.25" customHeight="1">
      <c r="A118" s="59">
        <v>11.9</v>
      </c>
      <c r="B118" s="60">
        <v>18946</v>
      </c>
      <c r="C118" s="61">
        <v>17999</v>
      </c>
      <c r="D118" s="62">
        <f>ROUND(B118/Configuración!$B$4,2)</f>
        <v>199.43</v>
      </c>
      <c r="E118" s="63">
        <f>ROUND(C118/Configuración!$B$4,2)</f>
        <v>189.46</v>
      </c>
      <c r="F118" s="62">
        <f t="shared" si="2"/>
        <v>16.760000000000002</v>
      </c>
      <c r="G118" s="63">
        <f t="shared" si="3"/>
        <v>15.92</v>
      </c>
    </row>
    <row r="119" spans="1:7" ht="14.25" customHeight="1">
      <c r="A119" s="59">
        <v>12</v>
      </c>
      <c r="B119" s="60">
        <v>18946</v>
      </c>
      <c r="C119" s="61">
        <v>17999</v>
      </c>
      <c r="D119" s="62">
        <f>ROUND(B119/Configuración!$B$4,2)</f>
        <v>199.43</v>
      </c>
      <c r="E119" s="63">
        <f>ROUND(C119/Configuración!$B$4,2)</f>
        <v>189.46</v>
      </c>
      <c r="F119" s="62">
        <f t="shared" si="2"/>
        <v>16.62</v>
      </c>
      <c r="G119" s="63">
        <f t="shared" si="3"/>
        <v>15.79</v>
      </c>
    </row>
    <row r="120" spans="1:7" ht="14.25" customHeight="1">
      <c r="A120" s="59">
        <v>12.1</v>
      </c>
      <c r="B120" s="60">
        <v>20431</v>
      </c>
      <c r="C120" s="61">
        <v>19410</v>
      </c>
      <c r="D120" s="62">
        <f>ROUND(B120/Configuración!$B$4,2)</f>
        <v>215.06</v>
      </c>
      <c r="E120" s="63">
        <f>ROUND(C120/Configuración!$B$4,2)</f>
        <v>204.32</v>
      </c>
      <c r="F120" s="62">
        <f t="shared" si="2"/>
        <v>17.77</v>
      </c>
      <c r="G120" s="63">
        <f t="shared" si="3"/>
        <v>16.89</v>
      </c>
    </row>
    <row r="121" spans="1:7" ht="14.25" customHeight="1">
      <c r="A121" s="59">
        <v>12.2</v>
      </c>
      <c r="B121" s="60">
        <v>20431</v>
      </c>
      <c r="C121" s="61">
        <v>19410</v>
      </c>
      <c r="D121" s="62">
        <f>ROUND(B121/Configuración!$B$4,2)</f>
        <v>215.06</v>
      </c>
      <c r="E121" s="63">
        <f>ROUND(C121/Configuración!$B$4,2)</f>
        <v>204.32</v>
      </c>
      <c r="F121" s="62">
        <f t="shared" si="2"/>
        <v>17.63</v>
      </c>
      <c r="G121" s="63">
        <f t="shared" si="3"/>
        <v>16.75</v>
      </c>
    </row>
    <row r="122" spans="1:7" ht="14.25" customHeight="1">
      <c r="A122" s="59">
        <v>12.3</v>
      </c>
      <c r="B122" s="60">
        <v>20431</v>
      </c>
      <c r="C122" s="61">
        <v>19410</v>
      </c>
      <c r="D122" s="62">
        <f>ROUND(B122/Configuración!$B$4,2)</f>
        <v>215.06</v>
      </c>
      <c r="E122" s="63">
        <f>ROUND(C122/Configuración!$B$4,2)</f>
        <v>204.32</v>
      </c>
      <c r="F122" s="62">
        <f t="shared" si="2"/>
        <v>17.48</v>
      </c>
      <c r="G122" s="63">
        <f t="shared" si="3"/>
        <v>16.61</v>
      </c>
    </row>
    <row r="123" spans="1:7" ht="14.25" customHeight="1">
      <c r="A123" s="59">
        <v>12.4</v>
      </c>
      <c r="B123" s="60">
        <v>20431</v>
      </c>
      <c r="C123" s="61">
        <v>19410</v>
      </c>
      <c r="D123" s="62">
        <f>ROUND(B123/Configuración!$B$4,2)</f>
        <v>215.06</v>
      </c>
      <c r="E123" s="63">
        <f>ROUND(C123/Configuración!$B$4,2)</f>
        <v>204.32</v>
      </c>
      <c r="F123" s="62">
        <f t="shared" si="2"/>
        <v>17.34</v>
      </c>
      <c r="G123" s="63">
        <f t="shared" si="3"/>
        <v>16.48</v>
      </c>
    </row>
    <row r="124" spans="1:7" ht="14.25" customHeight="1">
      <c r="A124" s="59">
        <v>12.5</v>
      </c>
      <c r="B124" s="60">
        <v>20431</v>
      </c>
      <c r="C124" s="61">
        <v>19410</v>
      </c>
      <c r="D124" s="62">
        <f>ROUND(B124/Configuración!$B$4,2)</f>
        <v>215.06</v>
      </c>
      <c r="E124" s="63">
        <f>ROUND(C124/Configuración!$B$4,2)</f>
        <v>204.32</v>
      </c>
      <c r="F124" s="62">
        <f t="shared" si="2"/>
        <v>17.2</v>
      </c>
      <c r="G124" s="63">
        <f t="shared" si="3"/>
        <v>16.350000000000001</v>
      </c>
    </row>
    <row r="125" spans="1:7" ht="14.25" customHeight="1">
      <c r="A125" s="59">
        <v>12.6</v>
      </c>
      <c r="B125" s="60">
        <v>20525</v>
      </c>
      <c r="C125" s="61">
        <v>19499</v>
      </c>
      <c r="D125" s="62">
        <f>ROUND(B125/Configuración!$B$4,2)</f>
        <v>216.05</v>
      </c>
      <c r="E125" s="63">
        <f>ROUND(C125/Configuración!$B$4,2)</f>
        <v>205.25</v>
      </c>
      <c r="F125" s="62">
        <f t="shared" si="2"/>
        <v>17.149999999999999</v>
      </c>
      <c r="G125" s="63">
        <f t="shared" si="3"/>
        <v>16.29</v>
      </c>
    </row>
    <row r="126" spans="1:7" ht="14.25" customHeight="1">
      <c r="A126" s="59">
        <v>12.7</v>
      </c>
      <c r="B126" s="60">
        <v>20525</v>
      </c>
      <c r="C126" s="61">
        <v>19499</v>
      </c>
      <c r="D126" s="62">
        <f>ROUND(B126/Configuración!$B$4,2)</f>
        <v>216.05</v>
      </c>
      <c r="E126" s="63">
        <f>ROUND(C126/Configuración!$B$4,2)</f>
        <v>205.25</v>
      </c>
      <c r="F126" s="62">
        <f t="shared" si="2"/>
        <v>17.010000000000002</v>
      </c>
      <c r="G126" s="63">
        <f t="shared" si="3"/>
        <v>16.16</v>
      </c>
    </row>
    <row r="127" spans="1:7" ht="14.25" customHeight="1">
      <c r="A127" s="59">
        <v>12.8</v>
      </c>
      <c r="B127" s="60">
        <v>20525</v>
      </c>
      <c r="C127" s="61">
        <v>19499</v>
      </c>
      <c r="D127" s="62">
        <f>ROUND(B127/Configuración!$B$4,2)</f>
        <v>216.05</v>
      </c>
      <c r="E127" s="63">
        <f>ROUND(C127/Configuración!$B$4,2)</f>
        <v>205.25</v>
      </c>
      <c r="F127" s="62">
        <f t="shared" si="2"/>
        <v>16.88</v>
      </c>
      <c r="G127" s="63">
        <f t="shared" si="3"/>
        <v>16.04</v>
      </c>
    </row>
    <row r="128" spans="1:7" ht="14.25" customHeight="1">
      <c r="A128" s="59">
        <v>12.9</v>
      </c>
      <c r="B128" s="60">
        <v>20525</v>
      </c>
      <c r="C128" s="61">
        <v>19499</v>
      </c>
      <c r="D128" s="62">
        <f>ROUND(B128/Configuración!$B$4,2)</f>
        <v>216.05</v>
      </c>
      <c r="E128" s="63">
        <f>ROUND(C128/Configuración!$B$4,2)</f>
        <v>205.25</v>
      </c>
      <c r="F128" s="62">
        <f t="shared" si="2"/>
        <v>16.75</v>
      </c>
      <c r="G128" s="63">
        <f t="shared" si="3"/>
        <v>15.91</v>
      </c>
    </row>
    <row r="129" spans="1:7" ht="14.25" customHeight="1">
      <c r="A129" s="59">
        <v>13</v>
      </c>
      <c r="B129" s="60">
        <v>20525</v>
      </c>
      <c r="C129" s="61">
        <v>19499</v>
      </c>
      <c r="D129" s="62">
        <f>ROUND(B129/Configuración!$B$4,2)</f>
        <v>216.05</v>
      </c>
      <c r="E129" s="63">
        <f>ROUND(C129/Configuración!$B$4,2)</f>
        <v>205.25</v>
      </c>
      <c r="F129" s="62">
        <f t="shared" si="2"/>
        <v>16.62</v>
      </c>
      <c r="G129" s="63">
        <f t="shared" si="3"/>
        <v>15.79</v>
      </c>
    </row>
    <row r="130" spans="1:7" ht="14.25" customHeight="1">
      <c r="A130" s="59">
        <v>13.1</v>
      </c>
      <c r="B130" s="60">
        <v>22010</v>
      </c>
      <c r="C130" s="61">
        <v>20910</v>
      </c>
      <c r="D130" s="62">
        <f>ROUND(B130/Configuración!$B$4,2)</f>
        <v>231.68</v>
      </c>
      <c r="E130" s="63">
        <f>ROUND(C130/Configuración!$B$4,2)</f>
        <v>220.11</v>
      </c>
      <c r="F130" s="62">
        <f t="shared" si="2"/>
        <v>17.690000000000001</v>
      </c>
      <c r="G130" s="63">
        <f t="shared" si="3"/>
        <v>16.8</v>
      </c>
    </row>
    <row r="131" spans="1:7" ht="14.25" customHeight="1">
      <c r="A131" s="59">
        <v>13.2</v>
      </c>
      <c r="B131" s="60">
        <v>22010</v>
      </c>
      <c r="C131" s="61">
        <v>20910</v>
      </c>
      <c r="D131" s="62">
        <f>ROUND(B131/Configuración!$B$4,2)</f>
        <v>231.68</v>
      </c>
      <c r="E131" s="63">
        <f>ROUND(C131/Configuración!$B$4,2)</f>
        <v>220.11</v>
      </c>
      <c r="F131" s="62">
        <f t="shared" si="2"/>
        <v>17.55</v>
      </c>
      <c r="G131" s="63">
        <f t="shared" si="3"/>
        <v>16.68</v>
      </c>
    </row>
    <row r="132" spans="1:7" ht="14.25" customHeight="1">
      <c r="A132" s="59">
        <v>13.3</v>
      </c>
      <c r="B132" s="60">
        <v>22010</v>
      </c>
      <c r="C132" s="61">
        <v>20910</v>
      </c>
      <c r="D132" s="62">
        <f>ROUND(B132/Configuración!$B$4,2)</f>
        <v>231.68</v>
      </c>
      <c r="E132" s="63">
        <f>ROUND(C132/Configuración!$B$4,2)</f>
        <v>220.11</v>
      </c>
      <c r="F132" s="62">
        <f t="shared" ref="F132:F195" si="4">IF(A132=0,"",ROUND(D132/A132,2))</f>
        <v>17.420000000000002</v>
      </c>
      <c r="G132" s="63">
        <f t="shared" ref="G132:G195" si="5">IF(A132=0,"",ROUND(E132/A132,2))</f>
        <v>16.55</v>
      </c>
    </row>
    <row r="133" spans="1:7" ht="14.25" customHeight="1">
      <c r="A133" s="59">
        <v>13.4</v>
      </c>
      <c r="B133" s="60">
        <v>22010</v>
      </c>
      <c r="C133" s="61">
        <v>20910</v>
      </c>
      <c r="D133" s="62">
        <f>ROUND(B133/Configuración!$B$4,2)</f>
        <v>231.68</v>
      </c>
      <c r="E133" s="63">
        <f>ROUND(C133/Configuración!$B$4,2)</f>
        <v>220.11</v>
      </c>
      <c r="F133" s="62">
        <f t="shared" si="4"/>
        <v>17.29</v>
      </c>
      <c r="G133" s="63">
        <f t="shared" si="5"/>
        <v>16.43</v>
      </c>
    </row>
    <row r="134" spans="1:7" ht="14.25" customHeight="1">
      <c r="A134" s="59">
        <v>13.5</v>
      </c>
      <c r="B134" s="60">
        <v>22010</v>
      </c>
      <c r="C134" s="61">
        <v>20910</v>
      </c>
      <c r="D134" s="62">
        <f>ROUND(B134/Configuración!$B$4,2)</f>
        <v>231.68</v>
      </c>
      <c r="E134" s="63">
        <f>ROUND(C134/Configuración!$B$4,2)</f>
        <v>220.11</v>
      </c>
      <c r="F134" s="62">
        <f t="shared" si="4"/>
        <v>17.16</v>
      </c>
      <c r="G134" s="63">
        <f t="shared" si="5"/>
        <v>16.3</v>
      </c>
    </row>
    <row r="135" spans="1:7" ht="14.25" customHeight="1">
      <c r="A135" s="59">
        <v>13.6</v>
      </c>
      <c r="B135" s="60">
        <v>22104</v>
      </c>
      <c r="C135" s="61">
        <v>20999</v>
      </c>
      <c r="D135" s="62">
        <f>ROUND(B135/Configuración!$B$4,2)</f>
        <v>232.67</v>
      </c>
      <c r="E135" s="63">
        <f>ROUND(C135/Configuración!$B$4,2)</f>
        <v>221.04</v>
      </c>
      <c r="F135" s="62">
        <f t="shared" si="4"/>
        <v>17.11</v>
      </c>
      <c r="G135" s="63">
        <f t="shared" si="5"/>
        <v>16.25</v>
      </c>
    </row>
    <row r="136" spans="1:7" ht="14.25" customHeight="1">
      <c r="A136" s="59">
        <v>13.7</v>
      </c>
      <c r="B136" s="60">
        <v>22104</v>
      </c>
      <c r="C136" s="61">
        <v>20999</v>
      </c>
      <c r="D136" s="62">
        <f>ROUND(B136/Configuración!$B$4,2)</f>
        <v>232.67</v>
      </c>
      <c r="E136" s="63">
        <f>ROUND(C136/Configuración!$B$4,2)</f>
        <v>221.04</v>
      </c>
      <c r="F136" s="62">
        <f t="shared" si="4"/>
        <v>16.98</v>
      </c>
      <c r="G136" s="63">
        <f t="shared" si="5"/>
        <v>16.13</v>
      </c>
    </row>
    <row r="137" spans="1:7" ht="14.25" customHeight="1">
      <c r="A137" s="59">
        <v>13.8</v>
      </c>
      <c r="B137" s="60">
        <v>22104</v>
      </c>
      <c r="C137" s="61">
        <v>20999</v>
      </c>
      <c r="D137" s="62">
        <f>ROUND(B137/Configuración!$B$4,2)</f>
        <v>232.67</v>
      </c>
      <c r="E137" s="63">
        <f>ROUND(C137/Configuración!$B$4,2)</f>
        <v>221.04</v>
      </c>
      <c r="F137" s="62">
        <f t="shared" si="4"/>
        <v>16.86</v>
      </c>
      <c r="G137" s="63">
        <f t="shared" si="5"/>
        <v>16.02</v>
      </c>
    </row>
    <row r="138" spans="1:7" ht="14.25" customHeight="1">
      <c r="A138" s="59">
        <v>13.9</v>
      </c>
      <c r="B138" s="60">
        <v>22104</v>
      </c>
      <c r="C138" s="61">
        <v>20999</v>
      </c>
      <c r="D138" s="62">
        <f>ROUND(B138/Configuración!$B$4,2)</f>
        <v>232.67</v>
      </c>
      <c r="E138" s="63">
        <f>ROUND(C138/Configuración!$B$4,2)</f>
        <v>221.04</v>
      </c>
      <c r="F138" s="62">
        <f t="shared" si="4"/>
        <v>16.739999999999998</v>
      </c>
      <c r="G138" s="63">
        <f t="shared" si="5"/>
        <v>15.9</v>
      </c>
    </row>
    <row r="139" spans="1:7" ht="14.25" customHeight="1">
      <c r="A139" s="59">
        <v>14</v>
      </c>
      <c r="B139" s="60">
        <v>22104</v>
      </c>
      <c r="C139" s="61">
        <v>20999</v>
      </c>
      <c r="D139" s="62">
        <f>ROUND(B139/Configuración!$B$4,2)</f>
        <v>232.67</v>
      </c>
      <c r="E139" s="63">
        <f>ROUND(C139/Configuración!$B$4,2)</f>
        <v>221.04</v>
      </c>
      <c r="F139" s="62">
        <f t="shared" si="4"/>
        <v>16.62</v>
      </c>
      <c r="G139" s="63">
        <f t="shared" si="5"/>
        <v>15.79</v>
      </c>
    </row>
    <row r="140" spans="1:7" ht="14.25" customHeight="1">
      <c r="A140" s="59">
        <v>14.1</v>
      </c>
      <c r="B140" s="60">
        <v>23589</v>
      </c>
      <c r="C140" s="61">
        <v>22410</v>
      </c>
      <c r="D140" s="62">
        <f>ROUND(B140/Configuración!$B$4,2)</f>
        <v>248.31</v>
      </c>
      <c r="E140" s="63">
        <f>ROUND(C140/Configuración!$B$4,2)</f>
        <v>235.89</v>
      </c>
      <c r="F140" s="62">
        <f t="shared" si="4"/>
        <v>17.61</v>
      </c>
      <c r="G140" s="63">
        <f t="shared" si="5"/>
        <v>16.73</v>
      </c>
    </row>
    <row r="141" spans="1:7" ht="14.25" customHeight="1">
      <c r="A141" s="59">
        <v>14.2</v>
      </c>
      <c r="B141" s="60">
        <v>23589</v>
      </c>
      <c r="C141" s="61">
        <v>22410</v>
      </c>
      <c r="D141" s="62">
        <f>ROUND(B141/Configuración!$B$4,2)</f>
        <v>248.31</v>
      </c>
      <c r="E141" s="63">
        <f>ROUND(C141/Configuración!$B$4,2)</f>
        <v>235.89</v>
      </c>
      <c r="F141" s="62">
        <f t="shared" si="4"/>
        <v>17.489999999999998</v>
      </c>
      <c r="G141" s="63">
        <f t="shared" si="5"/>
        <v>16.61</v>
      </c>
    </row>
    <row r="142" spans="1:7" ht="14.25" customHeight="1">
      <c r="A142" s="59">
        <v>14.3</v>
      </c>
      <c r="B142" s="60">
        <v>23589</v>
      </c>
      <c r="C142" s="61">
        <v>22410</v>
      </c>
      <c r="D142" s="62">
        <f>ROUND(B142/Configuración!$B$4,2)</f>
        <v>248.31</v>
      </c>
      <c r="E142" s="63">
        <f>ROUND(C142/Configuración!$B$4,2)</f>
        <v>235.89</v>
      </c>
      <c r="F142" s="62">
        <f t="shared" si="4"/>
        <v>17.36</v>
      </c>
      <c r="G142" s="63">
        <f t="shared" si="5"/>
        <v>16.5</v>
      </c>
    </row>
    <row r="143" spans="1:7" ht="14.25" customHeight="1">
      <c r="A143" s="59">
        <v>14.4</v>
      </c>
      <c r="B143" s="60">
        <v>23589</v>
      </c>
      <c r="C143" s="61">
        <v>22410</v>
      </c>
      <c r="D143" s="62">
        <f>ROUND(B143/Configuración!$B$4,2)</f>
        <v>248.31</v>
      </c>
      <c r="E143" s="63">
        <f>ROUND(C143/Configuración!$B$4,2)</f>
        <v>235.89</v>
      </c>
      <c r="F143" s="62">
        <f t="shared" si="4"/>
        <v>17.239999999999998</v>
      </c>
      <c r="G143" s="63">
        <f t="shared" si="5"/>
        <v>16.38</v>
      </c>
    </row>
    <row r="144" spans="1:7" ht="14.25" customHeight="1">
      <c r="A144" s="59">
        <v>14.5</v>
      </c>
      <c r="B144" s="60">
        <v>23589</v>
      </c>
      <c r="C144" s="61">
        <v>22410</v>
      </c>
      <c r="D144" s="62">
        <f>ROUND(B144/Configuración!$B$4,2)</f>
        <v>248.31</v>
      </c>
      <c r="E144" s="63">
        <f>ROUND(C144/Configuración!$B$4,2)</f>
        <v>235.89</v>
      </c>
      <c r="F144" s="62">
        <f t="shared" si="4"/>
        <v>17.12</v>
      </c>
      <c r="G144" s="63">
        <f t="shared" si="5"/>
        <v>16.27</v>
      </c>
    </row>
    <row r="145" spans="1:7" ht="14.25" customHeight="1">
      <c r="A145" s="59">
        <v>14.6</v>
      </c>
      <c r="B145" s="60">
        <v>23683</v>
      </c>
      <c r="C145" s="61">
        <v>22498</v>
      </c>
      <c r="D145" s="62">
        <f>ROUND(B145/Configuración!$B$4,2)</f>
        <v>249.29</v>
      </c>
      <c r="E145" s="63">
        <f>ROUND(C145/Configuración!$B$4,2)</f>
        <v>236.82</v>
      </c>
      <c r="F145" s="62">
        <f t="shared" si="4"/>
        <v>17.07</v>
      </c>
      <c r="G145" s="63">
        <f t="shared" si="5"/>
        <v>16.22</v>
      </c>
    </row>
    <row r="146" spans="1:7" ht="14.25" customHeight="1">
      <c r="A146" s="59">
        <v>14.7</v>
      </c>
      <c r="B146" s="60">
        <v>23683</v>
      </c>
      <c r="C146" s="61">
        <v>22498</v>
      </c>
      <c r="D146" s="62">
        <f>ROUND(B146/Configuración!$B$4,2)</f>
        <v>249.29</v>
      </c>
      <c r="E146" s="63">
        <f>ROUND(C146/Configuración!$B$4,2)</f>
        <v>236.82</v>
      </c>
      <c r="F146" s="62">
        <f t="shared" si="4"/>
        <v>16.96</v>
      </c>
      <c r="G146" s="63">
        <f t="shared" si="5"/>
        <v>16.11</v>
      </c>
    </row>
    <row r="147" spans="1:7" ht="14.25" customHeight="1">
      <c r="A147" s="59">
        <v>14.8</v>
      </c>
      <c r="B147" s="60">
        <v>23683</v>
      </c>
      <c r="C147" s="61">
        <v>22498</v>
      </c>
      <c r="D147" s="62">
        <f>ROUND(B147/Configuración!$B$4,2)</f>
        <v>249.29</v>
      </c>
      <c r="E147" s="63">
        <f>ROUND(C147/Configuración!$B$4,2)</f>
        <v>236.82</v>
      </c>
      <c r="F147" s="62">
        <f t="shared" si="4"/>
        <v>16.84</v>
      </c>
      <c r="G147" s="63">
        <f t="shared" si="5"/>
        <v>16</v>
      </c>
    </row>
    <row r="148" spans="1:7" ht="14.25" customHeight="1">
      <c r="A148" s="59">
        <v>14.9</v>
      </c>
      <c r="B148" s="60">
        <v>23683</v>
      </c>
      <c r="C148" s="61">
        <v>22498</v>
      </c>
      <c r="D148" s="62">
        <f>ROUND(B148/Configuración!$B$4,2)</f>
        <v>249.29</v>
      </c>
      <c r="E148" s="63">
        <f>ROUND(C148/Configuración!$B$4,2)</f>
        <v>236.82</v>
      </c>
      <c r="F148" s="62">
        <f t="shared" si="4"/>
        <v>16.73</v>
      </c>
      <c r="G148" s="63">
        <f t="shared" si="5"/>
        <v>15.89</v>
      </c>
    </row>
    <row r="149" spans="1:7" ht="14.25" customHeight="1">
      <c r="A149" s="59">
        <v>15</v>
      </c>
      <c r="B149" s="60">
        <v>23683</v>
      </c>
      <c r="C149" s="61">
        <v>22498</v>
      </c>
      <c r="D149" s="62">
        <f>ROUND(B149/Configuración!$B$4,2)</f>
        <v>249.29</v>
      </c>
      <c r="E149" s="63">
        <f>ROUND(C149/Configuración!$B$4,2)</f>
        <v>236.82</v>
      </c>
      <c r="F149" s="62">
        <f t="shared" si="4"/>
        <v>16.62</v>
      </c>
      <c r="G149" s="63">
        <f t="shared" si="5"/>
        <v>15.79</v>
      </c>
    </row>
    <row r="150" spans="1:7" ht="14.25" customHeight="1">
      <c r="A150" s="59">
        <v>15.1</v>
      </c>
      <c r="B150" s="60">
        <v>24432</v>
      </c>
      <c r="C150" s="61">
        <v>23210</v>
      </c>
      <c r="D150" s="62">
        <f>ROUND(B150/Configuración!$B$4,2)</f>
        <v>257.18</v>
      </c>
      <c r="E150" s="63">
        <f>ROUND(C150/Configuración!$B$4,2)</f>
        <v>244.32</v>
      </c>
      <c r="F150" s="62">
        <f t="shared" si="4"/>
        <v>17.03</v>
      </c>
      <c r="G150" s="63">
        <f t="shared" si="5"/>
        <v>16.18</v>
      </c>
    </row>
    <row r="151" spans="1:7" ht="14.25" customHeight="1">
      <c r="A151" s="59">
        <v>15.2</v>
      </c>
      <c r="B151" s="60">
        <v>24432</v>
      </c>
      <c r="C151" s="61">
        <v>23210</v>
      </c>
      <c r="D151" s="62">
        <f>ROUND(B151/Configuración!$B$4,2)</f>
        <v>257.18</v>
      </c>
      <c r="E151" s="63">
        <f>ROUND(C151/Configuración!$B$4,2)</f>
        <v>244.32</v>
      </c>
      <c r="F151" s="62">
        <f t="shared" si="4"/>
        <v>16.920000000000002</v>
      </c>
      <c r="G151" s="63">
        <f t="shared" si="5"/>
        <v>16.07</v>
      </c>
    </row>
    <row r="152" spans="1:7" ht="14.25" customHeight="1">
      <c r="A152" s="59">
        <v>15.3</v>
      </c>
      <c r="B152" s="60">
        <v>24432</v>
      </c>
      <c r="C152" s="61">
        <v>23210</v>
      </c>
      <c r="D152" s="62">
        <f>ROUND(B152/Configuración!$B$4,2)</f>
        <v>257.18</v>
      </c>
      <c r="E152" s="63">
        <f>ROUND(C152/Configuración!$B$4,2)</f>
        <v>244.32</v>
      </c>
      <c r="F152" s="62">
        <f t="shared" si="4"/>
        <v>16.809999999999999</v>
      </c>
      <c r="G152" s="63">
        <f t="shared" si="5"/>
        <v>15.97</v>
      </c>
    </row>
    <row r="153" spans="1:7" ht="14.25" customHeight="1">
      <c r="A153" s="59">
        <v>15.4</v>
      </c>
      <c r="B153" s="60">
        <v>24432</v>
      </c>
      <c r="C153" s="61">
        <v>23210</v>
      </c>
      <c r="D153" s="62">
        <f>ROUND(B153/Configuración!$B$4,2)</f>
        <v>257.18</v>
      </c>
      <c r="E153" s="63">
        <f>ROUND(C153/Configuración!$B$4,2)</f>
        <v>244.32</v>
      </c>
      <c r="F153" s="62">
        <f t="shared" si="4"/>
        <v>16.7</v>
      </c>
      <c r="G153" s="63">
        <f t="shared" si="5"/>
        <v>15.86</v>
      </c>
    </row>
    <row r="154" spans="1:7" ht="14.25" customHeight="1">
      <c r="A154" s="59">
        <v>15.5</v>
      </c>
      <c r="B154" s="60">
        <v>24432</v>
      </c>
      <c r="C154" s="61">
        <v>23210</v>
      </c>
      <c r="D154" s="62">
        <f>ROUND(B154/Configuración!$B$4,2)</f>
        <v>257.18</v>
      </c>
      <c r="E154" s="63">
        <f>ROUND(C154/Configuración!$B$4,2)</f>
        <v>244.32</v>
      </c>
      <c r="F154" s="62">
        <f t="shared" si="4"/>
        <v>16.59</v>
      </c>
      <c r="G154" s="63">
        <f t="shared" si="5"/>
        <v>15.76</v>
      </c>
    </row>
    <row r="155" spans="1:7" ht="14.25" customHeight="1">
      <c r="A155" s="59">
        <v>15.6</v>
      </c>
      <c r="B155" s="60">
        <v>24525</v>
      </c>
      <c r="C155" s="61">
        <v>23299</v>
      </c>
      <c r="D155" s="62">
        <f>ROUND(B155/Configuración!$B$4,2)</f>
        <v>258.16000000000003</v>
      </c>
      <c r="E155" s="63">
        <f>ROUND(C155/Configuración!$B$4,2)</f>
        <v>245.25</v>
      </c>
      <c r="F155" s="62">
        <f t="shared" si="4"/>
        <v>16.55</v>
      </c>
      <c r="G155" s="63">
        <f t="shared" si="5"/>
        <v>15.72</v>
      </c>
    </row>
    <row r="156" spans="1:7" ht="14.25" customHeight="1">
      <c r="A156" s="59">
        <v>15.7</v>
      </c>
      <c r="B156" s="60">
        <v>24525</v>
      </c>
      <c r="C156" s="61">
        <v>23299</v>
      </c>
      <c r="D156" s="62">
        <f>ROUND(B156/Configuración!$B$4,2)</f>
        <v>258.16000000000003</v>
      </c>
      <c r="E156" s="63">
        <f>ROUND(C156/Configuración!$B$4,2)</f>
        <v>245.25</v>
      </c>
      <c r="F156" s="62">
        <f t="shared" si="4"/>
        <v>16.440000000000001</v>
      </c>
      <c r="G156" s="63">
        <f t="shared" si="5"/>
        <v>15.62</v>
      </c>
    </row>
    <row r="157" spans="1:7" ht="14.25" customHeight="1">
      <c r="A157" s="59">
        <v>15.8</v>
      </c>
      <c r="B157" s="60">
        <v>24525</v>
      </c>
      <c r="C157" s="61">
        <v>23299</v>
      </c>
      <c r="D157" s="62">
        <f>ROUND(B157/Configuración!$B$4,2)</f>
        <v>258.16000000000003</v>
      </c>
      <c r="E157" s="63">
        <f>ROUND(C157/Configuración!$B$4,2)</f>
        <v>245.25</v>
      </c>
      <c r="F157" s="62">
        <f t="shared" si="4"/>
        <v>16.34</v>
      </c>
      <c r="G157" s="63">
        <f t="shared" si="5"/>
        <v>15.52</v>
      </c>
    </row>
    <row r="158" spans="1:7" ht="14.25" customHeight="1">
      <c r="A158" s="59">
        <v>15.9</v>
      </c>
      <c r="B158" s="60">
        <v>24525</v>
      </c>
      <c r="C158" s="61">
        <v>23299</v>
      </c>
      <c r="D158" s="62">
        <f>ROUND(B158/Configuración!$B$4,2)</f>
        <v>258.16000000000003</v>
      </c>
      <c r="E158" s="63">
        <f>ROUND(C158/Configuración!$B$4,2)</f>
        <v>245.25</v>
      </c>
      <c r="F158" s="62">
        <f t="shared" si="4"/>
        <v>16.239999999999998</v>
      </c>
      <c r="G158" s="63">
        <f t="shared" si="5"/>
        <v>15.42</v>
      </c>
    </row>
    <row r="159" spans="1:7" ht="14.25" customHeight="1">
      <c r="A159" s="59">
        <v>16</v>
      </c>
      <c r="B159" s="60">
        <v>24525</v>
      </c>
      <c r="C159" s="61">
        <v>23299</v>
      </c>
      <c r="D159" s="62">
        <f>ROUND(B159/Configuración!$B$4,2)</f>
        <v>258.16000000000003</v>
      </c>
      <c r="E159" s="63">
        <f>ROUND(C159/Configuración!$B$4,2)</f>
        <v>245.25</v>
      </c>
      <c r="F159" s="62">
        <f t="shared" si="4"/>
        <v>16.14</v>
      </c>
      <c r="G159" s="63">
        <f t="shared" si="5"/>
        <v>15.33</v>
      </c>
    </row>
    <row r="160" spans="1:7" ht="14.25" customHeight="1">
      <c r="A160" s="59">
        <v>16.100000000000001</v>
      </c>
      <c r="B160" s="60">
        <v>25965</v>
      </c>
      <c r="C160" s="61">
        <v>24667</v>
      </c>
      <c r="D160" s="62">
        <f>ROUND(B160/Configuración!$B$4,2)</f>
        <v>273.32</v>
      </c>
      <c r="E160" s="63">
        <f>ROUND(C160/Configuración!$B$4,2)</f>
        <v>259.64999999999998</v>
      </c>
      <c r="F160" s="62">
        <f t="shared" si="4"/>
        <v>16.98</v>
      </c>
      <c r="G160" s="63">
        <f t="shared" si="5"/>
        <v>16.13</v>
      </c>
    </row>
    <row r="161" spans="1:7" ht="14.25" customHeight="1">
      <c r="A161" s="59">
        <v>16.2</v>
      </c>
      <c r="B161" s="60">
        <v>25965</v>
      </c>
      <c r="C161" s="61">
        <v>24667</v>
      </c>
      <c r="D161" s="62">
        <f>ROUND(B161/Configuración!$B$4,2)</f>
        <v>273.32</v>
      </c>
      <c r="E161" s="63">
        <f>ROUND(C161/Configuración!$B$4,2)</f>
        <v>259.64999999999998</v>
      </c>
      <c r="F161" s="62">
        <f t="shared" si="4"/>
        <v>16.87</v>
      </c>
      <c r="G161" s="63">
        <f t="shared" si="5"/>
        <v>16.03</v>
      </c>
    </row>
    <row r="162" spans="1:7" ht="14.25" customHeight="1">
      <c r="A162" s="59">
        <v>16.3</v>
      </c>
      <c r="B162" s="60">
        <v>25965</v>
      </c>
      <c r="C162" s="61">
        <v>24667</v>
      </c>
      <c r="D162" s="62">
        <f>ROUND(B162/Configuración!$B$4,2)</f>
        <v>273.32</v>
      </c>
      <c r="E162" s="63">
        <f>ROUND(C162/Configuración!$B$4,2)</f>
        <v>259.64999999999998</v>
      </c>
      <c r="F162" s="62">
        <f t="shared" si="4"/>
        <v>16.77</v>
      </c>
      <c r="G162" s="63">
        <f t="shared" si="5"/>
        <v>15.93</v>
      </c>
    </row>
    <row r="163" spans="1:7" ht="14.25" customHeight="1">
      <c r="A163" s="59">
        <v>16.399999999999999</v>
      </c>
      <c r="B163" s="60">
        <v>25965</v>
      </c>
      <c r="C163" s="61">
        <v>24667</v>
      </c>
      <c r="D163" s="62">
        <f>ROUND(B163/Configuración!$B$4,2)</f>
        <v>273.32</v>
      </c>
      <c r="E163" s="63">
        <f>ROUND(C163/Configuración!$B$4,2)</f>
        <v>259.64999999999998</v>
      </c>
      <c r="F163" s="62">
        <f t="shared" si="4"/>
        <v>16.670000000000002</v>
      </c>
      <c r="G163" s="63">
        <f t="shared" si="5"/>
        <v>15.83</v>
      </c>
    </row>
    <row r="164" spans="1:7" ht="14.25" customHeight="1">
      <c r="A164" s="59">
        <v>16.5</v>
      </c>
      <c r="B164" s="60">
        <v>25965</v>
      </c>
      <c r="C164" s="61">
        <v>24667</v>
      </c>
      <c r="D164" s="62">
        <f>ROUND(B164/Configuración!$B$4,2)</f>
        <v>273.32</v>
      </c>
      <c r="E164" s="63">
        <f>ROUND(C164/Configuración!$B$4,2)</f>
        <v>259.64999999999998</v>
      </c>
      <c r="F164" s="62">
        <f t="shared" si="4"/>
        <v>16.559999999999999</v>
      </c>
      <c r="G164" s="63">
        <f t="shared" si="5"/>
        <v>15.74</v>
      </c>
    </row>
    <row r="165" spans="1:7" ht="14.25" customHeight="1">
      <c r="A165" s="59">
        <v>16.600000000000001</v>
      </c>
      <c r="B165" s="60">
        <v>26059</v>
      </c>
      <c r="C165" s="61">
        <v>24756</v>
      </c>
      <c r="D165" s="62">
        <f>ROUND(B165/Configuración!$B$4,2)</f>
        <v>274.31</v>
      </c>
      <c r="E165" s="63">
        <f>ROUND(C165/Configuración!$B$4,2)</f>
        <v>260.58999999999997</v>
      </c>
      <c r="F165" s="62">
        <f t="shared" si="4"/>
        <v>16.52</v>
      </c>
      <c r="G165" s="63">
        <f t="shared" si="5"/>
        <v>15.7</v>
      </c>
    </row>
    <row r="166" spans="1:7" ht="14.25" customHeight="1">
      <c r="A166" s="59">
        <v>16.7</v>
      </c>
      <c r="B166" s="60">
        <v>26059</v>
      </c>
      <c r="C166" s="61">
        <v>24756</v>
      </c>
      <c r="D166" s="62">
        <f>ROUND(B166/Configuración!$B$4,2)</f>
        <v>274.31</v>
      </c>
      <c r="E166" s="63">
        <f>ROUND(C166/Configuración!$B$4,2)</f>
        <v>260.58999999999997</v>
      </c>
      <c r="F166" s="62">
        <f t="shared" si="4"/>
        <v>16.43</v>
      </c>
      <c r="G166" s="63">
        <f t="shared" si="5"/>
        <v>15.6</v>
      </c>
    </row>
    <row r="167" spans="1:7" ht="14.25" customHeight="1">
      <c r="A167" s="59">
        <v>16.8</v>
      </c>
      <c r="B167" s="60">
        <v>26059</v>
      </c>
      <c r="C167" s="61">
        <v>24756</v>
      </c>
      <c r="D167" s="62">
        <f>ROUND(B167/Configuración!$B$4,2)</f>
        <v>274.31</v>
      </c>
      <c r="E167" s="63">
        <f>ROUND(C167/Configuración!$B$4,2)</f>
        <v>260.58999999999997</v>
      </c>
      <c r="F167" s="62">
        <f t="shared" si="4"/>
        <v>16.329999999999998</v>
      </c>
      <c r="G167" s="63">
        <f t="shared" si="5"/>
        <v>15.51</v>
      </c>
    </row>
    <row r="168" spans="1:7" ht="14.25" customHeight="1">
      <c r="A168" s="59">
        <v>16.899999999999999</v>
      </c>
      <c r="B168" s="60">
        <v>26059</v>
      </c>
      <c r="C168" s="61">
        <v>24756</v>
      </c>
      <c r="D168" s="62">
        <f>ROUND(B168/Configuración!$B$4,2)</f>
        <v>274.31</v>
      </c>
      <c r="E168" s="63">
        <f>ROUND(C168/Configuración!$B$4,2)</f>
        <v>260.58999999999997</v>
      </c>
      <c r="F168" s="62">
        <f t="shared" si="4"/>
        <v>16.23</v>
      </c>
      <c r="G168" s="63">
        <f t="shared" si="5"/>
        <v>15.42</v>
      </c>
    </row>
    <row r="169" spans="1:7" ht="14.25" customHeight="1">
      <c r="A169" s="59">
        <v>17</v>
      </c>
      <c r="B169" s="60">
        <v>26059</v>
      </c>
      <c r="C169" s="61">
        <v>24756</v>
      </c>
      <c r="D169" s="62">
        <f>ROUND(B169/Configuración!$B$4,2)</f>
        <v>274.31</v>
      </c>
      <c r="E169" s="63">
        <f>ROUND(C169/Configuración!$B$4,2)</f>
        <v>260.58999999999997</v>
      </c>
      <c r="F169" s="62">
        <f t="shared" si="4"/>
        <v>16.14</v>
      </c>
      <c r="G169" s="63">
        <f t="shared" si="5"/>
        <v>15.33</v>
      </c>
    </row>
    <row r="170" spans="1:7" ht="14.25" customHeight="1">
      <c r="A170" s="59">
        <v>17.100000000000001</v>
      </c>
      <c r="B170" s="60">
        <v>27497</v>
      </c>
      <c r="C170" s="61">
        <v>26122</v>
      </c>
      <c r="D170" s="62">
        <f>ROUND(B170/Configuración!$B$4,2)</f>
        <v>289.44</v>
      </c>
      <c r="E170" s="63">
        <f>ROUND(C170/Configuración!$B$4,2)</f>
        <v>274.97000000000003</v>
      </c>
      <c r="F170" s="62">
        <f t="shared" si="4"/>
        <v>16.93</v>
      </c>
      <c r="G170" s="63">
        <f t="shared" si="5"/>
        <v>16.079999999999998</v>
      </c>
    </row>
    <row r="171" spans="1:7" ht="14.25" customHeight="1">
      <c r="A171" s="59">
        <v>17.2</v>
      </c>
      <c r="B171" s="60">
        <v>27497</v>
      </c>
      <c r="C171" s="61">
        <v>26122</v>
      </c>
      <c r="D171" s="62">
        <f>ROUND(B171/Configuración!$B$4,2)</f>
        <v>289.44</v>
      </c>
      <c r="E171" s="63">
        <f>ROUND(C171/Configuración!$B$4,2)</f>
        <v>274.97000000000003</v>
      </c>
      <c r="F171" s="62">
        <f t="shared" si="4"/>
        <v>16.829999999999998</v>
      </c>
      <c r="G171" s="63">
        <f t="shared" si="5"/>
        <v>15.99</v>
      </c>
    </row>
    <row r="172" spans="1:7" ht="14.25" customHeight="1">
      <c r="A172" s="59">
        <v>17.3</v>
      </c>
      <c r="B172" s="60">
        <v>27497</v>
      </c>
      <c r="C172" s="61">
        <v>26122</v>
      </c>
      <c r="D172" s="62">
        <f>ROUND(B172/Configuración!$B$4,2)</f>
        <v>289.44</v>
      </c>
      <c r="E172" s="63">
        <f>ROUND(C172/Configuración!$B$4,2)</f>
        <v>274.97000000000003</v>
      </c>
      <c r="F172" s="62">
        <f t="shared" si="4"/>
        <v>16.73</v>
      </c>
      <c r="G172" s="63">
        <f t="shared" si="5"/>
        <v>15.89</v>
      </c>
    </row>
    <row r="173" spans="1:7" ht="14.25" customHeight="1">
      <c r="A173" s="59">
        <v>17.399999999999999</v>
      </c>
      <c r="B173" s="60">
        <v>27497</v>
      </c>
      <c r="C173" s="61">
        <v>26122</v>
      </c>
      <c r="D173" s="62">
        <f>ROUND(B173/Configuración!$B$4,2)</f>
        <v>289.44</v>
      </c>
      <c r="E173" s="63">
        <f>ROUND(C173/Configuración!$B$4,2)</f>
        <v>274.97000000000003</v>
      </c>
      <c r="F173" s="62">
        <f t="shared" si="4"/>
        <v>16.63</v>
      </c>
      <c r="G173" s="63">
        <f t="shared" si="5"/>
        <v>15.8</v>
      </c>
    </row>
    <row r="174" spans="1:7" ht="14.25" customHeight="1">
      <c r="A174" s="59">
        <v>17.5</v>
      </c>
      <c r="B174" s="60">
        <v>27497</v>
      </c>
      <c r="C174" s="61">
        <v>26122</v>
      </c>
      <c r="D174" s="62">
        <f>ROUND(B174/Configuración!$B$4,2)</f>
        <v>289.44</v>
      </c>
      <c r="E174" s="63">
        <f>ROUND(C174/Configuración!$B$4,2)</f>
        <v>274.97000000000003</v>
      </c>
      <c r="F174" s="62">
        <f t="shared" si="4"/>
        <v>16.54</v>
      </c>
      <c r="G174" s="63">
        <f t="shared" si="5"/>
        <v>15.71</v>
      </c>
    </row>
    <row r="175" spans="1:7" ht="14.25" customHeight="1">
      <c r="A175" s="59">
        <v>17.600000000000001</v>
      </c>
      <c r="B175" s="60">
        <v>27591</v>
      </c>
      <c r="C175" s="61">
        <v>26211</v>
      </c>
      <c r="D175" s="62">
        <f>ROUND(B175/Configuración!$B$4,2)</f>
        <v>290.43</v>
      </c>
      <c r="E175" s="63">
        <f>ROUND(C175/Configuración!$B$4,2)</f>
        <v>275.91000000000003</v>
      </c>
      <c r="F175" s="62">
        <f t="shared" si="4"/>
        <v>16.5</v>
      </c>
      <c r="G175" s="63">
        <f t="shared" si="5"/>
        <v>15.68</v>
      </c>
    </row>
    <row r="176" spans="1:7" ht="14.25" customHeight="1">
      <c r="A176" s="59">
        <v>17.7</v>
      </c>
      <c r="B176" s="60">
        <v>27591</v>
      </c>
      <c r="C176" s="61">
        <v>26211</v>
      </c>
      <c r="D176" s="62">
        <f>ROUND(B176/Configuración!$B$4,2)</f>
        <v>290.43</v>
      </c>
      <c r="E176" s="63">
        <f>ROUND(C176/Configuración!$B$4,2)</f>
        <v>275.91000000000003</v>
      </c>
      <c r="F176" s="62">
        <f t="shared" si="4"/>
        <v>16.41</v>
      </c>
      <c r="G176" s="63">
        <f t="shared" si="5"/>
        <v>15.59</v>
      </c>
    </row>
    <row r="177" spans="1:7" ht="14.25" customHeight="1">
      <c r="A177" s="59">
        <v>17.8</v>
      </c>
      <c r="B177" s="60">
        <v>27591</v>
      </c>
      <c r="C177" s="61">
        <v>26211</v>
      </c>
      <c r="D177" s="62">
        <f>ROUND(B177/Configuración!$B$4,2)</f>
        <v>290.43</v>
      </c>
      <c r="E177" s="63">
        <f>ROUND(C177/Configuración!$B$4,2)</f>
        <v>275.91000000000003</v>
      </c>
      <c r="F177" s="62">
        <f t="shared" si="4"/>
        <v>16.32</v>
      </c>
      <c r="G177" s="63">
        <f t="shared" si="5"/>
        <v>15.5</v>
      </c>
    </row>
    <row r="178" spans="1:7" ht="14.25" customHeight="1">
      <c r="A178" s="59">
        <v>17.899999999999999</v>
      </c>
      <c r="B178" s="60">
        <v>27591</v>
      </c>
      <c r="C178" s="61">
        <v>26211</v>
      </c>
      <c r="D178" s="62">
        <f>ROUND(B178/Configuración!$B$4,2)</f>
        <v>290.43</v>
      </c>
      <c r="E178" s="63">
        <f>ROUND(C178/Configuración!$B$4,2)</f>
        <v>275.91000000000003</v>
      </c>
      <c r="F178" s="62">
        <f t="shared" si="4"/>
        <v>16.23</v>
      </c>
      <c r="G178" s="63">
        <f t="shared" si="5"/>
        <v>15.41</v>
      </c>
    </row>
    <row r="179" spans="1:7" ht="14.25" customHeight="1">
      <c r="A179" s="59">
        <v>18</v>
      </c>
      <c r="B179" s="60">
        <v>27591</v>
      </c>
      <c r="C179" s="61">
        <v>26211</v>
      </c>
      <c r="D179" s="62">
        <f>ROUND(B179/Configuración!$B$4,2)</f>
        <v>290.43</v>
      </c>
      <c r="E179" s="63">
        <f>ROUND(C179/Configuración!$B$4,2)</f>
        <v>275.91000000000003</v>
      </c>
      <c r="F179" s="62">
        <f t="shared" si="4"/>
        <v>16.14</v>
      </c>
      <c r="G179" s="63">
        <f t="shared" si="5"/>
        <v>15.33</v>
      </c>
    </row>
    <row r="180" spans="1:7" ht="14.25" customHeight="1">
      <c r="A180" s="59">
        <v>18.100000000000001</v>
      </c>
      <c r="B180" s="60">
        <v>28331</v>
      </c>
      <c r="C180" s="61">
        <v>26915</v>
      </c>
      <c r="D180" s="62">
        <f>ROUND(B180/Configuración!$B$4,2)</f>
        <v>298.22000000000003</v>
      </c>
      <c r="E180" s="63">
        <f>ROUND(C180/Configuración!$B$4,2)</f>
        <v>283.32</v>
      </c>
      <c r="F180" s="62">
        <f t="shared" si="4"/>
        <v>16.48</v>
      </c>
      <c r="G180" s="63">
        <f t="shared" si="5"/>
        <v>15.65</v>
      </c>
    </row>
    <row r="181" spans="1:7" ht="14.25" customHeight="1">
      <c r="A181" s="59">
        <v>18.2</v>
      </c>
      <c r="B181" s="60">
        <v>28331</v>
      </c>
      <c r="C181" s="61">
        <v>26915</v>
      </c>
      <c r="D181" s="62">
        <f>ROUND(B181/Configuración!$B$4,2)</f>
        <v>298.22000000000003</v>
      </c>
      <c r="E181" s="63">
        <f>ROUND(C181/Configuración!$B$4,2)</f>
        <v>283.32</v>
      </c>
      <c r="F181" s="62">
        <f t="shared" si="4"/>
        <v>16.39</v>
      </c>
      <c r="G181" s="63">
        <f t="shared" si="5"/>
        <v>15.57</v>
      </c>
    </row>
    <row r="182" spans="1:7" ht="14.25" customHeight="1">
      <c r="A182" s="59">
        <v>18.3</v>
      </c>
      <c r="B182" s="60">
        <v>28331</v>
      </c>
      <c r="C182" s="61">
        <v>26915</v>
      </c>
      <c r="D182" s="62">
        <f>ROUND(B182/Configuración!$B$4,2)</f>
        <v>298.22000000000003</v>
      </c>
      <c r="E182" s="63">
        <f>ROUND(C182/Configuración!$B$4,2)</f>
        <v>283.32</v>
      </c>
      <c r="F182" s="62">
        <f t="shared" si="4"/>
        <v>16.3</v>
      </c>
      <c r="G182" s="63">
        <f t="shared" si="5"/>
        <v>15.48</v>
      </c>
    </row>
    <row r="183" spans="1:7" ht="14.25" customHeight="1">
      <c r="A183" s="59">
        <v>18.399999999999999</v>
      </c>
      <c r="B183" s="60">
        <v>28331</v>
      </c>
      <c r="C183" s="61">
        <v>26915</v>
      </c>
      <c r="D183" s="62">
        <f>ROUND(B183/Configuración!$B$4,2)</f>
        <v>298.22000000000003</v>
      </c>
      <c r="E183" s="63">
        <f>ROUND(C183/Configuración!$B$4,2)</f>
        <v>283.32</v>
      </c>
      <c r="F183" s="62">
        <f t="shared" si="4"/>
        <v>16.21</v>
      </c>
      <c r="G183" s="63">
        <f t="shared" si="5"/>
        <v>15.4</v>
      </c>
    </row>
    <row r="184" spans="1:7" ht="14.25" customHeight="1">
      <c r="A184" s="59">
        <v>18.5</v>
      </c>
      <c r="B184" s="60">
        <v>28331</v>
      </c>
      <c r="C184" s="61">
        <v>26915</v>
      </c>
      <c r="D184" s="62">
        <f>ROUND(B184/Configuración!$B$4,2)</f>
        <v>298.22000000000003</v>
      </c>
      <c r="E184" s="63">
        <f>ROUND(C184/Configuración!$B$4,2)</f>
        <v>283.32</v>
      </c>
      <c r="F184" s="62">
        <f t="shared" si="4"/>
        <v>16.12</v>
      </c>
      <c r="G184" s="63">
        <f t="shared" si="5"/>
        <v>15.31</v>
      </c>
    </row>
    <row r="185" spans="1:7" ht="14.25" customHeight="1">
      <c r="A185" s="59">
        <v>18.600000000000001</v>
      </c>
      <c r="B185" s="60">
        <v>28425</v>
      </c>
      <c r="C185" s="61">
        <v>27004</v>
      </c>
      <c r="D185" s="62">
        <f>ROUND(B185/Configuración!$B$4,2)</f>
        <v>299.20999999999998</v>
      </c>
      <c r="E185" s="63">
        <f>ROUND(C185/Configuración!$B$4,2)</f>
        <v>284.25</v>
      </c>
      <c r="F185" s="62">
        <f t="shared" si="4"/>
        <v>16.09</v>
      </c>
      <c r="G185" s="63">
        <f t="shared" si="5"/>
        <v>15.28</v>
      </c>
    </row>
    <row r="186" spans="1:7" ht="14.25" customHeight="1">
      <c r="A186" s="59">
        <v>18.7</v>
      </c>
      <c r="B186" s="60">
        <v>28425</v>
      </c>
      <c r="C186" s="61">
        <v>27004</v>
      </c>
      <c r="D186" s="62">
        <f>ROUND(B186/Configuración!$B$4,2)</f>
        <v>299.20999999999998</v>
      </c>
      <c r="E186" s="63">
        <f>ROUND(C186/Configuración!$B$4,2)</f>
        <v>284.25</v>
      </c>
      <c r="F186" s="62">
        <f t="shared" si="4"/>
        <v>16</v>
      </c>
      <c r="G186" s="63">
        <f t="shared" si="5"/>
        <v>15.2</v>
      </c>
    </row>
    <row r="187" spans="1:7" ht="14.25" customHeight="1">
      <c r="A187" s="59">
        <v>18.8</v>
      </c>
      <c r="B187" s="60">
        <v>28425</v>
      </c>
      <c r="C187" s="61">
        <v>27004</v>
      </c>
      <c r="D187" s="62">
        <f>ROUND(B187/Configuración!$B$4,2)</f>
        <v>299.20999999999998</v>
      </c>
      <c r="E187" s="63">
        <f>ROUND(C187/Configuración!$B$4,2)</f>
        <v>284.25</v>
      </c>
      <c r="F187" s="62">
        <f t="shared" si="4"/>
        <v>15.92</v>
      </c>
      <c r="G187" s="63">
        <f t="shared" si="5"/>
        <v>15.12</v>
      </c>
    </row>
    <row r="188" spans="1:7" ht="14.25" customHeight="1">
      <c r="A188" s="59">
        <v>18.899999999999999</v>
      </c>
      <c r="B188" s="60">
        <v>28425</v>
      </c>
      <c r="C188" s="61">
        <v>27004</v>
      </c>
      <c r="D188" s="62">
        <f>ROUND(B188/Configuración!$B$4,2)</f>
        <v>299.20999999999998</v>
      </c>
      <c r="E188" s="63">
        <f>ROUND(C188/Configuración!$B$4,2)</f>
        <v>284.25</v>
      </c>
      <c r="F188" s="62">
        <f t="shared" si="4"/>
        <v>15.83</v>
      </c>
      <c r="G188" s="63">
        <f t="shared" si="5"/>
        <v>15.04</v>
      </c>
    </row>
    <row r="189" spans="1:7" ht="14.25" customHeight="1">
      <c r="A189" s="59">
        <v>19</v>
      </c>
      <c r="B189" s="60">
        <v>28425</v>
      </c>
      <c r="C189" s="61">
        <v>27004</v>
      </c>
      <c r="D189" s="62">
        <f>ROUND(B189/Configuración!$B$4,2)</f>
        <v>299.20999999999998</v>
      </c>
      <c r="E189" s="63">
        <f>ROUND(C189/Configuración!$B$4,2)</f>
        <v>284.25</v>
      </c>
      <c r="F189" s="62">
        <f t="shared" si="4"/>
        <v>15.75</v>
      </c>
      <c r="G189" s="63">
        <f t="shared" si="5"/>
        <v>14.96</v>
      </c>
    </row>
    <row r="190" spans="1:7" ht="14.25" customHeight="1">
      <c r="A190" s="59">
        <v>19.100000000000001</v>
      </c>
      <c r="B190" s="60">
        <v>29827</v>
      </c>
      <c r="C190" s="61">
        <v>28335</v>
      </c>
      <c r="D190" s="62">
        <f>ROUND(B190/Configuración!$B$4,2)</f>
        <v>313.97000000000003</v>
      </c>
      <c r="E190" s="63">
        <f>ROUND(C190/Configuración!$B$4,2)</f>
        <v>298.26</v>
      </c>
      <c r="F190" s="62">
        <f t="shared" si="4"/>
        <v>16.440000000000001</v>
      </c>
      <c r="G190" s="63">
        <f t="shared" si="5"/>
        <v>15.62</v>
      </c>
    </row>
    <row r="191" spans="1:7" ht="14.25" customHeight="1">
      <c r="A191" s="59">
        <v>19.2</v>
      </c>
      <c r="B191" s="60">
        <v>29827</v>
      </c>
      <c r="C191" s="61">
        <v>28335</v>
      </c>
      <c r="D191" s="62">
        <f>ROUND(B191/Configuración!$B$4,2)</f>
        <v>313.97000000000003</v>
      </c>
      <c r="E191" s="63">
        <f>ROUND(C191/Configuración!$B$4,2)</f>
        <v>298.26</v>
      </c>
      <c r="F191" s="62">
        <f t="shared" si="4"/>
        <v>16.350000000000001</v>
      </c>
      <c r="G191" s="63">
        <f t="shared" si="5"/>
        <v>15.53</v>
      </c>
    </row>
    <row r="192" spans="1:7" ht="14.25" customHeight="1">
      <c r="A192" s="59">
        <v>19.3</v>
      </c>
      <c r="B192" s="60">
        <v>29827</v>
      </c>
      <c r="C192" s="61">
        <v>28335</v>
      </c>
      <c r="D192" s="62">
        <f>ROUND(B192/Configuración!$B$4,2)</f>
        <v>313.97000000000003</v>
      </c>
      <c r="E192" s="63">
        <f>ROUND(C192/Configuración!$B$4,2)</f>
        <v>298.26</v>
      </c>
      <c r="F192" s="62">
        <f t="shared" si="4"/>
        <v>16.27</v>
      </c>
      <c r="G192" s="63">
        <f t="shared" si="5"/>
        <v>15.45</v>
      </c>
    </row>
    <row r="193" spans="1:7" ht="14.25" customHeight="1">
      <c r="A193" s="59">
        <v>19.399999999999999</v>
      </c>
      <c r="B193" s="60">
        <v>29827</v>
      </c>
      <c r="C193" s="61">
        <v>28335</v>
      </c>
      <c r="D193" s="62">
        <f>ROUND(B193/Configuración!$B$4,2)</f>
        <v>313.97000000000003</v>
      </c>
      <c r="E193" s="63">
        <f>ROUND(C193/Configuración!$B$4,2)</f>
        <v>298.26</v>
      </c>
      <c r="F193" s="62">
        <f t="shared" si="4"/>
        <v>16.18</v>
      </c>
      <c r="G193" s="63">
        <f t="shared" si="5"/>
        <v>15.37</v>
      </c>
    </row>
    <row r="194" spans="1:7" ht="14.25" customHeight="1">
      <c r="A194" s="59">
        <v>19.5</v>
      </c>
      <c r="B194" s="60">
        <v>29827</v>
      </c>
      <c r="C194" s="61">
        <v>28335</v>
      </c>
      <c r="D194" s="62">
        <f>ROUND(B194/Configuración!$B$4,2)</f>
        <v>313.97000000000003</v>
      </c>
      <c r="E194" s="63">
        <f>ROUND(C194/Configuración!$B$4,2)</f>
        <v>298.26</v>
      </c>
      <c r="F194" s="62">
        <f t="shared" si="4"/>
        <v>16.100000000000001</v>
      </c>
      <c r="G194" s="63">
        <f t="shared" si="5"/>
        <v>15.3</v>
      </c>
    </row>
    <row r="195" spans="1:7" ht="14.25" customHeight="1">
      <c r="A195" s="59">
        <v>19.600000000000001</v>
      </c>
      <c r="B195" s="60">
        <v>29920</v>
      </c>
      <c r="C195" s="61">
        <v>28424</v>
      </c>
      <c r="D195" s="62">
        <f>ROUND(B195/Configuración!$B$4,2)</f>
        <v>314.95</v>
      </c>
      <c r="E195" s="63">
        <f>ROUND(C195/Configuración!$B$4,2)</f>
        <v>299.2</v>
      </c>
      <c r="F195" s="62">
        <f t="shared" si="4"/>
        <v>16.07</v>
      </c>
      <c r="G195" s="63">
        <f t="shared" si="5"/>
        <v>15.27</v>
      </c>
    </row>
    <row r="196" spans="1:7" ht="14.25" customHeight="1">
      <c r="A196" s="59">
        <v>19.7</v>
      </c>
      <c r="B196" s="60">
        <v>29920</v>
      </c>
      <c r="C196" s="61">
        <v>28424</v>
      </c>
      <c r="D196" s="62">
        <f>ROUND(B196/Configuración!$B$4,2)</f>
        <v>314.95</v>
      </c>
      <c r="E196" s="63">
        <f>ROUND(C196/Configuración!$B$4,2)</f>
        <v>299.2</v>
      </c>
      <c r="F196" s="62">
        <f t="shared" ref="F196:F219" si="6">IF(A196=0,"",ROUND(D196/A196,2))</f>
        <v>15.99</v>
      </c>
      <c r="G196" s="63">
        <f t="shared" ref="G196:G219" si="7">IF(A196=0,"",ROUND(E196/A196,2))</f>
        <v>15.19</v>
      </c>
    </row>
    <row r="197" spans="1:7" ht="14.25" customHeight="1">
      <c r="A197" s="59">
        <v>19.8</v>
      </c>
      <c r="B197" s="60">
        <v>29920</v>
      </c>
      <c r="C197" s="61">
        <v>28424</v>
      </c>
      <c r="D197" s="62">
        <f>ROUND(B197/Configuración!$B$4,2)</f>
        <v>314.95</v>
      </c>
      <c r="E197" s="63">
        <f>ROUND(C197/Configuración!$B$4,2)</f>
        <v>299.2</v>
      </c>
      <c r="F197" s="62">
        <f t="shared" si="6"/>
        <v>15.91</v>
      </c>
      <c r="G197" s="63">
        <f t="shared" si="7"/>
        <v>15.11</v>
      </c>
    </row>
    <row r="198" spans="1:7" ht="14.25" customHeight="1">
      <c r="A198" s="59">
        <v>19.899999999999999</v>
      </c>
      <c r="B198" s="60">
        <v>29920</v>
      </c>
      <c r="C198" s="61">
        <v>28424</v>
      </c>
      <c r="D198" s="62">
        <f>ROUND(B198/Configuración!$B$4,2)</f>
        <v>314.95</v>
      </c>
      <c r="E198" s="63">
        <f>ROUND(C198/Configuración!$B$4,2)</f>
        <v>299.2</v>
      </c>
      <c r="F198" s="62">
        <f t="shared" si="6"/>
        <v>15.83</v>
      </c>
      <c r="G198" s="63">
        <f t="shared" si="7"/>
        <v>15.04</v>
      </c>
    </row>
    <row r="199" spans="1:7" ht="14.25" customHeight="1">
      <c r="A199" s="59">
        <v>20</v>
      </c>
      <c r="B199" s="60">
        <v>29920</v>
      </c>
      <c r="C199" s="61">
        <v>28424</v>
      </c>
      <c r="D199" s="62">
        <f>ROUND(B199/Configuración!$B$4,2)</f>
        <v>314.95</v>
      </c>
      <c r="E199" s="63">
        <f>ROUND(C199/Configuración!$B$4,2)</f>
        <v>299.2</v>
      </c>
      <c r="F199" s="62">
        <f t="shared" si="6"/>
        <v>15.75</v>
      </c>
      <c r="G199" s="63">
        <f t="shared" si="7"/>
        <v>14.96</v>
      </c>
    </row>
    <row r="200" spans="1:7" ht="14.25" customHeight="1">
      <c r="A200" s="59">
        <v>20.100000000000001</v>
      </c>
      <c r="B200" s="60">
        <v>31323</v>
      </c>
      <c r="C200" s="61">
        <v>29757</v>
      </c>
      <c r="D200" s="62">
        <f>ROUND(B200/Configuración!$B$4,2)</f>
        <v>329.72</v>
      </c>
      <c r="E200" s="63">
        <f>ROUND(C200/Configuración!$B$4,2)</f>
        <v>313.23</v>
      </c>
      <c r="F200" s="62">
        <f t="shared" si="6"/>
        <v>16.399999999999999</v>
      </c>
      <c r="G200" s="63">
        <f t="shared" si="7"/>
        <v>15.58</v>
      </c>
    </row>
    <row r="201" spans="1:7" ht="14.25" customHeight="1">
      <c r="A201" s="59">
        <v>20.2</v>
      </c>
      <c r="B201" s="60">
        <v>31323</v>
      </c>
      <c r="C201" s="61">
        <v>29757</v>
      </c>
      <c r="D201" s="62">
        <f>ROUND(B201/Configuración!$B$4,2)</f>
        <v>329.72</v>
      </c>
      <c r="E201" s="63">
        <f>ROUND(C201/Configuración!$B$4,2)</f>
        <v>313.23</v>
      </c>
      <c r="F201" s="62">
        <f t="shared" si="6"/>
        <v>16.32</v>
      </c>
      <c r="G201" s="63">
        <f t="shared" si="7"/>
        <v>15.51</v>
      </c>
    </row>
    <row r="202" spans="1:7" ht="14.25" customHeight="1">
      <c r="A202" s="59">
        <v>20.3</v>
      </c>
      <c r="B202" s="60">
        <v>31323</v>
      </c>
      <c r="C202" s="61">
        <v>29757</v>
      </c>
      <c r="D202" s="62">
        <f>ROUND(B202/Configuración!$B$4,2)</f>
        <v>329.72</v>
      </c>
      <c r="E202" s="63">
        <f>ROUND(C202/Configuración!$B$4,2)</f>
        <v>313.23</v>
      </c>
      <c r="F202" s="62">
        <f t="shared" si="6"/>
        <v>16.239999999999998</v>
      </c>
      <c r="G202" s="63">
        <f t="shared" si="7"/>
        <v>15.43</v>
      </c>
    </row>
    <row r="203" spans="1:7" ht="14.25" customHeight="1">
      <c r="A203" s="59">
        <v>20.399999999999999</v>
      </c>
      <c r="B203" s="60">
        <v>31323</v>
      </c>
      <c r="C203" s="61">
        <v>29757</v>
      </c>
      <c r="D203" s="62">
        <f>ROUND(B203/Configuración!$B$4,2)</f>
        <v>329.72</v>
      </c>
      <c r="E203" s="63">
        <f>ROUND(C203/Configuración!$B$4,2)</f>
        <v>313.23</v>
      </c>
      <c r="F203" s="62">
        <f t="shared" si="6"/>
        <v>16.16</v>
      </c>
      <c r="G203" s="63">
        <f t="shared" si="7"/>
        <v>15.35</v>
      </c>
    </row>
    <row r="204" spans="1:7" ht="14.25" customHeight="1">
      <c r="A204" s="59">
        <v>20.5</v>
      </c>
      <c r="B204" s="60">
        <v>31323</v>
      </c>
      <c r="C204" s="61">
        <v>29757</v>
      </c>
      <c r="D204" s="62">
        <f>ROUND(B204/Configuración!$B$4,2)</f>
        <v>329.72</v>
      </c>
      <c r="E204" s="63">
        <f>ROUND(C204/Configuración!$B$4,2)</f>
        <v>313.23</v>
      </c>
      <c r="F204" s="62">
        <f t="shared" si="6"/>
        <v>16.079999999999998</v>
      </c>
      <c r="G204" s="63">
        <f t="shared" si="7"/>
        <v>15.28</v>
      </c>
    </row>
    <row r="205" spans="1:7" ht="14.25" customHeight="1">
      <c r="A205" s="59">
        <v>20.6</v>
      </c>
      <c r="B205" s="60">
        <v>31417</v>
      </c>
      <c r="C205" s="61">
        <v>29846</v>
      </c>
      <c r="D205" s="62">
        <f>ROUND(B205/Configuración!$B$4,2)</f>
        <v>330.71</v>
      </c>
      <c r="E205" s="63">
        <f>ROUND(C205/Configuración!$B$4,2)</f>
        <v>314.17</v>
      </c>
      <c r="F205" s="62">
        <f t="shared" si="6"/>
        <v>16.05</v>
      </c>
      <c r="G205" s="63">
        <f t="shared" si="7"/>
        <v>15.25</v>
      </c>
    </row>
    <row r="206" spans="1:7" ht="14.25" customHeight="1">
      <c r="A206" s="59">
        <v>20.7</v>
      </c>
      <c r="B206" s="60">
        <v>31417</v>
      </c>
      <c r="C206" s="61">
        <v>29846</v>
      </c>
      <c r="D206" s="62">
        <f>ROUND(B206/Configuración!$B$4,2)</f>
        <v>330.71</v>
      </c>
      <c r="E206" s="63">
        <f>ROUND(C206/Configuración!$B$4,2)</f>
        <v>314.17</v>
      </c>
      <c r="F206" s="62">
        <f t="shared" si="6"/>
        <v>15.98</v>
      </c>
      <c r="G206" s="63">
        <f t="shared" si="7"/>
        <v>15.18</v>
      </c>
    </row>
    <row r="207" spans="1:7" ht="14.25" customHeight="1">
      <c r="A207" s="59">
        <v>20.8</v>
      </c>
      <c r="B207" s="60">
        <v>31417</v>
      </c>
      <c r="C207" s="61">
        <v>29846</v>
      </c>
      <c r="D207" s="62">
        <f>ROUND(B207/Configuración!$B$4,2)</f>
        <v>330.71</v>
      </c>
      <c r="E207" s="63">
        <f>ROUND(C207/Configuración!$B$4,2)</f>
        <v>314.17</v>
      </c>
      <c r="F207" s="62">
        <f t="shared" si="6"/>
        <v>15.9</v>
      </c>
      <c r="G207" s="63">
        <f t="shared" si="7"/>
        <v>15.1</v>
      </c>
    </row>
    <row r="208" spans="1:7" ht="14.25" customHeight="1">
      <c r="A208" s="59">
        <v>20.9</v>
      </c>
      <c r="B208" s="60">
        <v>31417</v>
      </c>
      <c r="C208" s="61">
        <v>29846</v>
      </c>
      <c r="D208" s="62">
        <f>ROUND(B208/Configuración!$B$4,2)</f>
        <v>330.71</v>
      </c>
      <c r="E208" s="63">
        <f>ROUND(C208/Configuración!$B$4,2)</f>
        <v>314.17</v>
      </c>
      <c r="F208" s="62">
        <f t="shared" si="6"/>
        <v>15.82</v>
      </c>
      <c r="G208" s="63">
        <f t="shared" si="7"/>
        <v>15.03</v>
      </c>
    </row>
    <row r="209" spans="1:7" ht="14.25" customHeight="1">
      <c r="A209" s="59">
        <v>21</v>
      </c>
      <c r="B209" s="60">
        <v>31417</v>
      </c>
      <c r="C209" s="61">
        <v>29846</v>
      </c>
      <c r="D209" s="62">
        <f>ROUND(B209/Configuración!$B$4,2)</f>
        <v>330.71</v>
      </c>
      <c r="E209" s="63">
        <f>ROUND(C209/Configuración!$B$4,2)</f>
        <v>314.17</v>
      </c>
      <c r="F209" s="62">
        <f t="shared" si="6"/>
        <v>15.75</v>
      </c>
      <c r="G209" s="63">
        <f t="shared" si="7"/>
        <v>14.96</v>
      </c>
    </row>
    <row r="210" spans="1:7" ht="14.25" customHeight="1">
      <c r="A210" s="59">
        <v>21.1</v>
      </c>
      <c r="B210" s="60">
        <v>32819</v>
      </c>
      <c r="C210" s="61">
        <v>31178</v>
      </c>
      <c r="D210" s="62">
        <f>ROUND(B210/Configuración!$B$4,2)</f>
        <v>345.46</v>
      </c>
      <c r="E210" s="63">
        <f>ROUND(C210/Configuración!$B$4,2)</f>
        <v>328.19</v>
      </c>
      <c r="F210" s="62">
        <f t="shared" si="6"/>
        <v>16.37</v>
      </c>
      <c r="G210" s="63">
        <f t="shared" si="7"/>
        <v>15.55</v>
      </c>
    </row>
    <row r="211" spans="1:7" ht="14.25" customHeight="1">
      <c r="A211" s="59">
        <v>21.2</v>
      </c>
      <c r="B211" s="60">
        <v>32819</v>
      </c>
      <c r="C211" s="61">
        <v>31178</v>
      </c>
      <c r="D211" s="62">
        <f>ROUND(B211/Configuración!$B$4,2)</f>
        <v>345.46</v>
      </c>
      <c r="E211" s="63">
        <f>ROUND(C211/Configuración!$B$4,2)</f>
        <v>328.19</v>
      </c>
      <c r="F211" s="62">
        <f t="shared" si="6"/>
        <v>16.3</v>
      </c>
      <c r="G211" s="63">
        <f t="shared" si="7"/>
        <v>15.48</v>
      </c>
    </row>
    <row r="212" spans="1:7" ht="14.25" customHeight="1">
      <c r="A212" s="59">
        <v>21.3</v>
      </c>
      <c r="B212" s="60">
        <v>32819</v>
      </c>
      <c r="C212" s="61">
        <v>31178</v>
      </c>
      <c r="D212" s="62">
        <f>ROUND(B212/Configuración!$B$4,2)</f>
        <v>345.46</v>
      </c>
      <c r="E212" s="63">
        <f>ROUND(C212/Configuración!$B$4,2)</f>
        <v>328.19</v>
      </c>
      <c r="F212" s="62">
        <f t="shared" si="6"/>
        <v>16.22</v>
      </c>
      <c r="G212" s="63">
        <f t="shared" si="7"/>
        <v>15.41</v>
      </c>
    </row>
    <row r="213" spans="1:7" ht="14.25" customHeight="1">
      <c r="A213" s="59">
        <v>21.4</v>
      </c>
      <c r="B213" s="60">
        <v>32819</v>
      </c>
      <c r="C213" s="61">
        <v>31178</v>
      </c>
      <c r="D213" s="62">
        <f>ROUND(B213/Configuración!$B$4,2)</f>
        <v>345.46</v>
      </c>
      <c r="E213" s="63">
        <f>ROUND(C213/Configuración!$B$4,2)</f>
        <v>328.19</v>
      </c>
      <c r="F213" s="62">
        <f t="shared" si="6"/>
        <v>16.14</v>
      </c>
      <c r="G213" s="63">
        <f t="shared" si="7"/>
        <v>15.34</v>
      </c>
    </row>
    <row r="214" spans="1:7" ht="14.25" customHeight="1">
      <c r="A214" s="59">
        <v>21.5</v>
      </c>
      <c r="B214" s="60">
        <v>32819</v>
      </c>
      <c r="C214" s="61">
        <v>31178</v>
      </c>
      <c r="D214" s="62">
        <f>ROUND(B214/Configuración!$B$4,2)</f>
        <v>345.46</v>
      </c>
      <c r="E214" s="63">
        <f>ROUND(C214/Configuración!$B$4,2)</f>
        <v>328.19</v>
      </c>
      <c r="F214" s="62">
        <f t="shared" si="6"/>
        <v>16.07</v>
      </c>
      <c r="G214" s="63">
        <f t="shared" si="7"/>
        <v>15.26</v>
      </c>
    </row>
    <row r="215" spans="1:7" ht="14.25" customHeight="1">
      <c r="A215" s="59">
        <v>21.6</v>
      </c>
      <c r="B215" s="60">
        <v>32912</v>
      </c>
      <c r="C215" s="61">
        <v>31266</v>
      </c>
      <c r="D215" s="62">
        <f>ROUND(B215/Configuración!$B$4,2)</f>
        <v>346.44</v>
      </c>
      <c r="E215" s="63">
        <f>ROUND(C215/Configuración!$B$4,2)</f>
        <v>329.12</v>
      </c>
      <c r="F215" s="62">
        <f t="shared" si="6"/>
        <v>16.04</v>
      </c>
      <c r="G215" s="63">
        <f t="shared" si="7"/>
        <v>15.24</v>
      </c>
    </row>
    <row r="216" spans="1:7" ht="14.25" customHeight="1">
      <c r="A216" s="59">
        <v>21.7</v>
      </c>
      <c r="B216" s="60">
        <v>32912</v>
      </c>
      <c r="C216" s="61">
        <v>31266</v>
      </c>
      <c r="D216" s="62">
        <f>ROUND(B216/Configuración!$B$4,2)</f>
        <v>346.44</v>
      </c>
      <c r="E216" s="63">
        <f>ROUND(C216/Configuración!$B$4,2)</f>
        <v>329.12</v>
      </c>
      <c r="F216" s="62">
        <f t="shared" si="6"/>
        <v>15.96</v>
      </c>
      <c r="G216" s="63">
        <f t="shared" si="7"/>
        <v>15.17</v>
      </c>
    </row>
    <row r="217" spans="1:7" ht="14.25" customHeight="1">
      <c r="A217" s="59">
        <v>21.8</v>
      </c>
      <c r="B217" s="60">
        <v>32912</v>
      </c>
      <c r="C217" s="61">
        <v>31266</v>
      </c>
      <c r="D217" s="62">
        <f>ROUND(B217/Configuración!$B$4,2)</f>
        <v>346.44</v>
      </c>
      <c r="E217" s="63">
        <f>ROUND(C217/Configuración!$B$4,2)</f>
        <v>329.12</v>
      </c>
      <c r="F217" s="62">
        <f t="shared" si="6"/>
        <v>15.89</v>
      </c>
      <c r="G217" s="63">
        <f t="shared" si="7"/>
        <v>15.1</v>
      </c>
    </row>
    <row r="218" spans="1:7" ht="14.25" customHeight="1">
      <c r="A218" s="59">
        <v>21.9</v>
      </c>
      <c r="B218" s="60">
        <v>32912</v>
      </c>
      <c r="C218" s="61">
        <v>31266</v>
      </c>
      <c r="D218" s="62">
        <f>ROUND(B218/Configuración!$B$4,2)</f>
        <v>346.44</v>
      </c>
      <c r="E218" s="63">
        <f>ROUND(C218/Configuración!$B$4,2)</f>
        <v>329.12</v>
      </c>
      <c r="F218" s="62">
        <f t="shared" si="6"/>
        <v>15.82</v>
      </c>
      <c r="G218" s="63">
        <f t="shared" si="7"/>
        <v>15.03</v>
      </c>
    </row>
    <row r="219" spans="1:7" ht="14.25" customHeight="1">
      <c r="A219" s="59">
        <v>22</v>
      </c>
      <c r="B219" s="60">
        <v>32912</v>
      </c>
      <c r="C219" s="61">
        <v>31266</v>
      </c>
      <c r="D219" s="62">
        <f>ROUND(B219/Configuración!$B$4,2)</f>
        <v>346.44</v>
      </c>
      <c r="E219" s="63">
        <f>ROUND(C219/Configuración!$B$4,2)</f>
        <v>329.12</v>
      </c>
      <c r="F219" s="62">
        <f t="shared" si="6"/>
        <v>15.75</v>
      </c>
      <c r="G219" s="63">
        <f t="shared" si="7"/>
        <v>14.96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tabSelected="1" topLeftCell="C1" zoomScale="82" zoomScaleNormal="82" workbookViewId="0">
      <pane ySplit="4" topLeftCell="A5" activePane="bottomLeft" state="frozen"/>
      <selection pane="bottomLeft" activeCell="H23" sqref="H23"/>
    </sheetView>
  </sheetViews>
  <sheetFormatPr baseColWidth="10" defaultColWidth="14.44140625" defaultRowHeight="14.4"/>
  <cols>
    <col min="1" max="1" width="27.77734375" customWidth="1"/>
    <col min="2" max="2" width="9.21875" customWidth="1"/>
    <col min="3" max="3" width="28" customWidth="1"/>
    <col min="4" max="4" width="12.33203125" customWidth="1"/>
    <col min="5" max="5" width="8.21875" customWidth="1"/>
    <col min="6" max="6" width="5.77734375" customWidth="1"/>
    <col min="7" max="8" width="6" customWidth="1"/>
    <col min="9" max="9" width="9.77734375" customWidth="1"/>
    <col min="10" max="10" width="15" customWidth="1"/>
    <col min="11" max="11" width="10.21875" customWidth="1"/>
    <col min="12" max="12" width="6.88671875" customWidth="1"/>
    <col min="13" max="13" width="12.109375" customWidth="1"/>
    <col min="14" max="14" width="11.77734375" customWidth="1"/>
    <col min="15" max="15" width="10" customWidth="1"/>
    <col min="16" max="16" width="13.109375" customWidth="1"/>
    <col min="17" max="17" width="9.33203125" customWidth="1"/>
    <col min="18" max="18" width="62" customWidth="1"/>
    <col min="19" max="19" width="6.77734375" customWidth="1"/>
    <col min="20" max="20" width="6.33203125" customWidth="1"/>
    <col min="21" max="21" width="8.21875" customWidth="1"/>
    <col min="22" max="27" width="8.77734375" customWidth="1"/>
  </cols>
  <sheetData>
    <row r="1" spans="1:22" ht="16.5" customHeight="1">
      <c r="A1" s="8" t="s">
        <v>54</v>
      </c>
      <c r="B1" s="8"/>
      <c r="C1" s="8"/>
      <c r="D1" s="8"/>
      <c r="E1" s="8"/>
      <c r="F1" s="8"/>
      <c r="G1" s="8"/>
      <c r="H1" s="8"/>
      <c r="I1" s="8"/>
      <c r="J1" s="69"/>
    </row>
    <row r="2" spans="1:22" ht="14.25" customHeight="1">
      <c r="A2" s="7" t="s">
        <v>55</v>
      </c>
      <c r="B2" s="7"/>
      <c r="C2" s="7"/>
      <c r="D2" s="7"/>
      <c r="E2" s="7"/>
      <c r="F2" s="7"/>
      <c r="G2" s="7"/>
      <c r="H2" s="7"/>
      <c r="I2" s="7"/>
      <c r="J2" s="70"/>
    </row>
    <row r="4" spans="1:22" ht="36" customHeight="1">
      <c r="A4" s="42" t="s">
        <v>56</v>
      </c>
      <c r="B4" s="42" t="s">
        <v>57</v>
      </c>
      <c r="C4" s="42" t="s">
        <v>58</v>
      </c>
      <c r="D4" s="42" t="s">
        <v>59</v>
      </c>
      <c r="E4" s="42" t="s">
        <v>60</v>
      </c>
      <c r="F4" s="42" t="s">
        <v>61</v>
      </c>
      <c r="G4" s="42" t="s">
        <v>62</v>
      </c>
      <c r="H4" s="42" t="s">
        <v>63</v>
      </c>
      <c r="I4" s="42" t="s">
        <v>64</v>
      </c>
      <c r="J4" s="42" t="s">
        <v>65</v>
      </c>
      <c r="K4" s="42" t="s">
        <v>66</v>
      </c>
      <c r="L4" s="42" t="s">
        <v>67</v>
      </c>
      <c r="M4" s="42" t="s">
        <v>68</v>
      </c>
      <c r="N4" s="42" t="s">
        <v>69</v>
      </c>
      <c r="O4" s="42" t="s">
        <v>70</v>
      </c>
      <c r="P4" s="42" t="s">
        <v>71</v>
      </c>
      <c r="Q4" s="42" t="s">
        <v>72</v>
      </c>
      <c r="R4" s="42" t="s">
        <v>73</v>
      </c>
      <c r="S4" s="42" t="s">
        <v>74</v>
      </c>
      <c r="T4" s="42" t="s">
        <v>75</v>
      </c>
      <c r="U4" s="42" t="s">
        <v>76</v>
      </c>
      <c r="V4" s="42"/>
    </row>
    <row r="5" spans="1:22" ht="26.25" customHeight="1">
      <c r="A5" s="71" t="s">
        <v>77</v>
      </c>
      <c r="B5" s="72" t="s">
        <v>78</v>
      </c>
      <c r="C5" s="72" t="s">
        <v>79</v>
      </c>
      <c r="D5" s="73" t="s">
        <v>80</v>
      </c>
      <c r="E5" s="74">
        <v>3052</v>
      </c>
      <c r="F5" s="75">
        <v>25</v>
      </c>
      <c r="G5" s="75">
        <v>20</v>
      </c>
      <c r="H5" s="75">
        <v>8</v>
      </c>
      <c r="I5" s="76">
        <f t="shared" ref="I5:I39" si="0">IF(OR(F5="",G5="",H5=""),"",F5*G5*H5)</f>
        <v>4000</v>
      </c>
      <c r="J5" s="77">
        <f t="shared" ref="J5:J39" si="1">IF(I5="","",I5/5000)</f>
        <v>0.8</v>
      </c>
      <c r="K5" s="78">
        <v>2295</v>
      </c>
      <c r="L5" s="79">
        <f>IF(K5="","",ROUND(K5/Configuración!$B$4,2))</f>
        <v>24.16</v>
      </c>
      <c r="M5" s="79">
        <f>IF(E5="","",ROUND(MAX(E5/1000,IF(I5="",0,I5/5000))*Configuración!$B$10,2))</f>
        <v>50.72</v>
      </c>
      <c r="N5" s="79">
        <f>IF(I5="","",ROUND(I5/28316.85*Configuración!$B$15,2))</f>
        <v>6.36</v>
      </c>
      <c r="O5" s="79">
        <f>IF(L5="","",ROUND(L5*Configuración!$B$16,2))</f>
        <v>0.72</v>
      </c>
      <c r="P5" s="79">
        <f>IF(L5="","",ROUND(L5*Configuración!$B$18,2))</f>
        <v>0</v>
      </c>
      <c r="Q5" s="80">
        <f t="shared" ref="Q5:Q39" si="2">IF(L5="","",ROUND(L5+IF(M5="",0,M5)+IF(N5="",0,N5)+IF(O5="",0,O5)+IF(P5="",0,P5),2))</f>
        <v>81.96</v>
      </c>
      <c r="R5" s="81" t="s">
        <v>81</v>
      </c>
      <c r="S5" s="82">
        <v>0.4</v>
      </c>
      <c r="T5" s="83">
        <f t="shared" ref="T5:T39" si="3">IF(Q5="","",ROUND(Q5/(1-S5),0))</f>
        <v>137</v>
      </c>
      <c r="U5" s="79">
        <f t="shared" ref="U5:U39" si="4">IF(T5="","",ROUND(T5-Q5,2))</f>
        <v>55.04</v>
      </c>
      <c r="V5" s="79"/>
    </row>
    <row r="6" spans="1:22" ht="26.25" customHeight="1">
      <c r="A6" s="71" t="s">
        <v>82</v>
      </c>
      <c r="B6" s="73" t="s">
        <v>83</v>
      </c>
      <c r="C6" s="72" t="s">
        <v>84</v>
      </c>
      <c r="D6" s="73" t="s">
        <v>85</v>
      </c>
      <c r="E6" s="74">
        <v>50</v>
      </c>
      <c r="F6" s="75">
        <v>6</v>
      </c>
      <c r="G6" s="75">
        <v>4</v>
      </c>
      <c r="H6" s="75">
        <v>4</v>
      </c>
      <c r="I6" s="76">
        <f t="shared" si="0"/>
        <v>96</v>
      </c>
      <c r="J6" s="77">
        <f t="shared" si="1"/>
        <v>1.9199999999999998E-2</v>
      </c>
      <c r="K6" s="78">
        <v>155</v>
      </c>
      <c r="L6" s="79">
        <f>IF(K6="","",ROUND(K6/Configuración!$B$4,2))</f>
        <v>1.63</v>
      </c>
      <c r="M6" s="79">
        <f>IF(E6="","",ROUND(MAX(E6/1000,IF(I6="",0,I6/5000))*Configuración!$B$10,2))</f>
        <v>0.83</v>
      </c>
      <c r="N6" s="79">
        <f>IF(I6="","",ROUND(I6/28316.85*Configuración!$B$15,2))</f>
        <v>0.15</v>
      </c>
      <c r="O6" s="79">
        <f>IF(L6="","",ROUND(L6*Configuración!$B$16,2))</f>
        <v>0.05</v>
      </c>
      <c r="P6" s="79">
        <f>IF(L6="","",ROUND(L6*Configuración!$B$18,2))</f>
        <v>0</v>
      </c>
      <c r="Q6" s="80">
        <f t="shared" si="2"/>
        <v>2.66</v>
      </c>
      <c r="R6" s="81" t="s">
        <v>86</v>
      </c>
      <c r="S6" s="82">
        <v>0.4</v>
      </c>
      <c r="T6" s="83">
        <f t="shared" si="3"/>
        <v>4</v>
      </c>
      <c r="U6" s="79">
        <f t="shared" si="4"/>
        <v>1.34</v>
      </c>
      <c r="V6" s="79"/>
    </row>
    <row r="7" spans="1:22" ht="14.25" customHeight="1">
      <c r="A7" s="71" t="s">
        <v>87</v>
      </c>
      <c r="B7" s="73" t="s">
        <v>88</v>
      </c>
      <c r="C7" s="73" t="s">
        <v>84</v>
      </c>
      <c r="D7" s="73" t="s">
        <v>85</v>
      </c>
      <c r="E7" s="74">
        <v>40</v>
      </c>
      <c r="F7" s="75">
        <v>6</v>
      </c>
      <c r="G7" s="75">
        <v>4</v>
      </c>
      <c r="H7" s="75">
        <v>4</v>
      </c>
      <c r="I7" s="76">
        <f t="shared" si="0"/>
        <v>96</v>
      </c>
      <c r="J7" s="77">
        <f t="shared" si="1"/>
        <v>1.9199999999999998E-2</v>
      </c>
      <c r="K7" s="78">
        <v>120</v>
      </c>
      <c r="L7" s="79">
        <f>IF(K7="","",ROUND(K7/Configuración!$B$4,2))</f>
        <v>1.26</v>
      </c>
      <c r="M7" s="79">
        <f>IF(E7="","",ROUND(MAX(E7/1000,IF(I7="",0,I7/5000))*Configuración!$B$10,2))</f>
        <v>0.66</v>
      </c>
      <c r="N7" s="79">
        <f>IF(I7="","",ROUND(I7/28316.85*Configuración!$B$15,2))</f>
        <v>0.15</v>
      </c>
      <c r="O7" s="79">
        <f>IF(L7="","",ROUND(L7*Configuración!$B$16,2))</f>
        <v>0.04</v>
      </c>
      <c r="P7" s="79">
        <f>IF(L7="","",ROUND(L7*Configuración!$B$18,2))</f>
        <v>0</v>
      </c>
      <c r="Q7" s="80">
        <f t="shared" si="2"/>
        <v>2.11</v>
      </c>
      <c r="R7" s="81" t="s">
        <v>89</v>
      </c>
      <c r="S7" s="82">
        <v>0.4</v>
      </c>
      <c r="T7" s="83">
        <f t="shared" si="3"/>
        <v>4</v>
      </c>
      <c r="U7" s="79">
        <f t="shared" si="4"/>
        <v>1.89</v>
      </c>
      <c r="V7" s="79"/>
    </row>
    <row r="8" spans="1:22" ht="26.25" customHeight="1">
      <c r="A8" s="71" t="s">
        <v>90</v>
      </c>
      <c r="B8" s="73" t="s">
        <v>91</v>
      </c>
      <c r="C8" s="72" t="s">
        <v>92</v>
      </c>
      <c r="D8" s="73" t="s">
        <v>85</v>
      </c>
      <c r="E8" s="74">
        <v>180</v>
      </c>
      <c r="F8" s="75">
        <v>15</v>
      </c>
      <c r="G8" s="75">
        <v>12</v>
      </c>
      <c r="H8" s="75">
        <v>5</v>
      </c>
      <c r="I8" s="76">
        <f t="shared" si="0"/>
        <v>900</v>
      </c>
      <c r="J8" s="77">
        <f t="shared" si="1"/>
        <v>0.18</v>
      </c>
      <c r="K8" s="78">
        <v>251</v>
      </c>
      <c r="L8" s="79">
        <f>IF(K8="","",ROUND(K8/Configuración!$B$4,2))</f>
        <v>2.64</v>
      </c>
      <c r="M8" s="79">
        <f>IF(E8="","",ROUND(MAX(E8/1000,IF(I8="",0,I8/5000))*Configuración!$B$10,2))</f>
        <v>2.99</v>
      </c>
      <c r="N8" s="79">
        <f>IF(I8="","",ROUND(I8/28316.85*Configuración!$B$15,2))</f>
        <v>1.43</v>
      </c>
      <c r="O8" s="79">
        <f>IF(L8="","",ROUND(L8*Configuración!$B$16,2))</f>
        <v>0.08</v>
      </c>
      <c r="P8" s="79">
        <f>IF(L8="","",ROUND(L8*Configuración!$B$18,2))</f>
        <v>0</v>
      </c>
      <c r="Q8" s="80">
        <f t="shared" si="2"/>
        <v>7.14</v>
      </c>
      <c r="R8" s="81" t="s">
        <v>93</v>
      </c>
      <c r="S8" s="82">
        <v>0.4</v>
      </c>
      <c r="T8" s="83">
        <f t="shared" si="3"/>
        <v>12</v>
      </c>
      <c r="U8" s="79">
        <f t="shared" si="4"/>
        <v>4.8600000000000003</v>
      </c>
      <c r="V8" s="79"/>
    </row>
    <row r="9" spans="1:22" ht="26.25" customHeight="1">
      <c r="A9" s="71" t="s">
        <v>94</v>
      </c>
      <c r="B9" s="73" t="s">
        <v>95</v>
      </c>
      <c r="C9" s="72" t="s">
        <v>96</v>
      </c>
      <c r="D9" s="73" t="s">
        <v>85</v>
      </c>
      <c r="E9" s="74">
        <v>85</v>
      </c>
      <c r="F9" s="75">
        <v>8</v>
      </c>
      <c r="G9" s="75">
        <v>7</v>
      </c>
      <c r="H9" s="75">
        <v>6</v>
      </c>
      <c r="I9" s="76">
        <f t="shared" si="0"/>
        <v>336</v>
      </c>
      <c r="J9" s="77">
        <f t="shared" si="1"/>
        <v>6.7199999999999996E-2</v>
      </c>
      <c r="K9" s="78">
        <v>82</v>
      </c>
      <c r="L9" s="79">
        <f>IF(K9="","",ROUND(K9/Configuración!$B$4,2))</f>
        <v>0.86</v>
      </c>
      <c r="M9" s="79">
        <f>IF(E9="","",ROUND(MAX(E9/1000,IF(I9="",0,I9/5000))*Configuración!$B$10,2))</f>
        <v>1.41</v>
      </c>
      <c r="N9" s="79">
        <f>IF(I9="","",ROUND(I9/28316.85*Configuración!$B$15,2))</f>
        <v>0.53</v>
      </c>
      <c r="O9" s="79">
        <f>IF(L9="","",ROUND(L9*Configuración!$B$16,2))</f>
        <v>0.03</v>
      </c>
      <c r="P9" s="79">
        <f>IF(L9="","",ROUND(L9*Configuración!$B$18,2))</f>
        <v>0</v>
      </c>
      <c r="Q9" s="80">
        <f t="shared" si="2"/>
        <v>2.83</v>
      </c>
      <c r="R9" s="84" t="s">
        <v>97</v>
      </c>
      <c r="S9" s="82">
        <v>0.4</v>
      </c>
      <c r="T9" s="83">
        <f t="shared" si="3"/>
        <v>5</v>
      </c>
      <c r="U9" s="79">
        <f t="shared" si="4"/>
        <v>2.17</v>
      </c>
      <c r="V9" s="79"/>
    </row>
    <row r="10" spans="1:22" ht="26.25" customHeight="1">
      <c r="A10" s="85" t="s">
        <v>98</v>
      </c>
      <c r="B10" s="73" t="s">
        <v>99</v>
      </c>
      <c r="C10" s="73" t="s">
        <v>84</v>
      </c>
      <c r="D10" s="73" t="s">
        <v>100</v>
      </c>
      <c r="E10" s="74">
        <v>50</v>
      </c>
      <c r="F10" s="75">
        <v>20</v>
      </c>
      <c r="G10" s="75">
        <v>15</v>
      </c>
      <c r="H10" s="75">
        <v>1</v>
      </c>
      <c r="I10" s="76">
        <f t="shared" si="0"/>
        <v>300</v>
      </c>
      <c r="J10" s="77">
        <f t="shared" si="1"/>
        <v>0.06</v>
      </c>
      <c r="K10" s="78">
        <v>44</v>
      </c>
      <c r="L10" s="79">
        <f>IF(K10="","",ROUND(K10/Configuración!$B$4,2))</f>
        <v>0.46</v>
      </c>
      <c r="M10" s="79">
        <f>IF(E10="","",ROUND(MAX(E10/1000,IF(I10="",0,I10/5000))*Configuración!$B$10,2))</f>
        <v>1</v>
      </c>
      <c r="N10" s="79">
        <f>IF(I10="","",ROUND(I10/28316.85*Configuración!$B$15,2))</f>
        <v>0.48</v>
      </c>
      <c r="O10" s="79">
        <f>IF(L10="","",ROUND(L10*Configuración!$B$16,2))</f>
        <v>0.01</v>
      </c>
      <c r="P10" s="79">
        <f>IF(L10="","",ROUND(L10*Configuración!$B$18,2))</f>
        <v>0</v>
      </c>
      <c r="Q10" s="80">
        <f t="shared" si="2"/>
        <v>1.95</v>
      </c>
      <c r="R10" s="81" t="s">
        <v>101</v>
      </c>
      <c r="S10" s="82">
        <v>0.4</v>
      </c>
      <c r="T10" s="83">
        <f t="shared" si="3"/>
        <v>3</v>
      </c>
      <c r="U10" s="79">
        <f t="shared" si="4"/>
        <v>1.05</v>
      </c>
      <c r="V10" s="79"/>
    </row>
    <row r="11" spans="1:22" ht="14.25" customHeight="1">
      <c r="A11" s="71" t="s">
        <v>102</v>
      </c>
      <c r="B11" s="73" t="s">
        <v>103</v>
      </c>
      <c r="C11" s="72" t="s">
        <v>92</v>
      </c>
      <c r="D11" s="73" t="s">
        <v>104</v>
      </c>
      <c r="E11" s="74">
        <v>150</v>
      </c>
      <c r="F11" s="75">
        <v>12</v>
      </c>
      <c r="G11" s="75">
        <v>8</v>
      </c>
      <c r="H11" s="75">
        <v>4</v>
      </c>
      <c r="I11" s="76">
        <f t="shared" si="0"/>
        <v>384</v>
      </c>
      <c r="J11" s="77">
        <f t="shared" si="1"/>
        <v>7.6799999999999993E-2</v>
      </c>
      <c r="K11" s="78">
        <v>256</v>
      </c>
      <c r="L11" s="79">
        <f>IF(K11="","",ROUND(K11/Configuración!$B$4,2))</f>
        <v>2.69</v>
      </c>
      <c r="M11" s="79">
        <f>IF(E11="","",ROUND(MAX(E11/1000,IF(I11="",0,I11/5000))*Configuración!$B$10,2))</f>
        <v>2.4900000000000002</v>
      </c>
      <c r="N11" s="79">
        <f>IF(I11="","",ROUND(I11/28316.85*Configuración!$B$15,2))</f>
        <v>0.61</v>
      </c>
      <c r="O11" s="79">
        <f>IF(L11="","",ROUND(L11*Configuración!$B$16,2))</f>
        <v>0.08</v>
      </c>
      <c r="P11" s="79">
        <f>IF(L11="","",ROUND(L11*Configuración!$B$18,2))</f>
        <v>0</v>
      </c>
      <c r="Q11" s="80">
        <f t="shared" si="2"/>
        <v>5.87</v>
      </c>
      <c r="R11" s="81" t="s">
        <v>105</v>
      </c>
      <c r="S11" s="82">
        <v>0.4</v>
      </c>
      <c r="T11" s="83">
        <f t="shared" si="3"/>
        <v>10</v>
      </c>
      <c r="U11" s="79">
        <f t="shared" si="4"/>
        <v>4.13</v>
      </c>
      <c r="V11" s="79"/>
    </row>
    <row r="12" spans="1:22" ht="14.25" customHeight="1">
      <c r="A12" s="71" t="s">
        <v>106</v>
      </c>
      <c r="B12" s="73" t="s">
        <v>107</v>
      </c>
      <c r="C12" s="72" t="s">
        <v>92</v>
      </c>
      <c r="D12" s="73" t="s">
        <v>104</v>
      </c>
      <c r="E12" s="74">
        <v>130</v>
      </c>
      <c r="F12" s="75">
        <v>10</v>
      </c>
      <c r="G12" s="75">
        <v>7</v>
      </c>
      <c r="H12" s="75">
        <v>4</v>
      </c>
      <c r="I12" s="76">
        <f t="shared" si="0"/>
        <v>280</v>
      </c>
      <c r="J12" s="77">
        <f t="shared" si="1"/>
        <v>5.6000000000000001E-2</v>
      </c>
      <c r="K12" s="78">
        <v>237</v>
      </c>
      <c r="L12" s="79">
        <f>IF(K12="","",ROUND(K12/Configuración!$B$4,2))</f>
        <v>2.4900000000000002</v>
      </c>
      <c r="M12" s="79">
        <f>IF(E12="","",ROUND(MAX(E12/1000,IF(I12="",0,I12/5000))*Configuración!$B$10,2))</f>
        <v>2.16</v>
      </c>
      <c r="N12" s="79">
        <f>IF(I12="","",ROUND(I12/28316.85*Configuración!$B$15,2))</f>
        <v>0.44</v>
      </c>
      <c r="O12" s="79">
        <f>IF(L12="","",ROUND(L12*Configuración!$B$16,2))</f>
        <v>7.0000000000000007E-2</v>
      </c>
      <c r="P12" s="79">
        <f>IF(L12="","",ROUND(L12*Configuración!$B$18,2))</f>
        <v>0</v>
      </c>
      <c r="Q12" s="80">
        <f t="shared" si="2"/>
        <v>5.16</v>
      </c>
      <c r="R12" s="81" t="s">
        <v>108</v>
      </c>
      <c r="S12" s="82">
        <v>0.4</v>
      </c>
      <c r="T12" s="83">
        <f t="shared" si="3"/>
        <v>9</v>
      </c>
      <c r="U12" s="79">
        <f t="shared" si="4"/>
        <v>3.84</v>
      </c>
      <c r="V12" s="79"/>
    </row>
    <row r="13" spans="1:22" ht="15" customHeight="1">
      <c r="A13" s="71" t="s">
        <v>109</v>
      </c>
      <c r="B13" s="73" t="s">
        <v>110</v>
      </c>
      <c r="C13" s="72" t="s">
        <v>92</v>
      </c>
      <c r="D13" s="73" t="s">
        <v>111</v>
      </c>
      <c r="E13" s="74">
        <v>160</v>
      </c>
      <c r="F13" s="75">
        <v>120</v>
      </c>
      <c r="G13" s="75">
        <v>2</v>
      </c>
      <c r="H13" s="75">
        <v>2</v>
      </c>
      <c r="I13" s="76">
        <f t="shared" si="0"/>
        <v>480</v>
      </c>
      <c r="J13" s="77">
        <f t="shared" si="1"/>
        <v>9.6000000000000002E-2</v>
      </c>
      <c r="K13" s="78">
        <v>229</v>
      </c>
      <c r="L13" s="79">
        <f>IF(K13="","",ROUND(K13/Configuración!$B$4,2))</f>
        <v>2.41</v>
      </c>
      <c r="M13" s="79">
        <f>IF(E13="","",ROUND(MAX(E13/1000,IF(I13="",0,I13/5000))*Configuración!$B$10,2))</f>
        <v>2.66</v>
      </c>
      <c r="N13" s="79">
        <f>IF(I13="","",ROUND(I13/28316.85*Configuración!$B$15,2))</f>
        <v>0.76</v>
      </c>
      <c r="O13" s="79">
        <f>IF(L13="","",ROUND(L13*Configuración!$B$16,2))</f>
        <v>7.0000000000000007E-2</v>
      </c>
      <c r="P13" s="79">
        <f>IF(L13="","",ROUND(L13*Configuración!$B$18,2))</f>
        <v>0</v>
      </c>
      <c r="Q13" s="80">
        <f t="shared" si="2"/>
        <v>5.9</v>
      </c>
      <c r="R13" s="81" t="s">
        <v>112</v>
      </c>
      <c r="S13" s="82">
        <v>0.4</v>
      </c>
      <c r="T13" s="83">
        <f t="shared" si="3"/>
        <v>10</v>
      </c>
      <c r="U13" s="79">
        <f t="shared" si="4"/>
        <v>4.0999999999999996</v>
      </c>
      <c r="V13" s="79"/>
    </row>
    <row r="14" spans="1:22" ht="14.25" customHeight="1">
      <c r="A14" s="85" t="s">
        <v>113</v>
      </c>
      <c r="B14" s="73" t="s">
        <v>114</v>
      </c>
      <c r="C14" s="72" t="s">
        <v>115</v>
      </c>
      <c r="D14" s="72" t="s">
        <v>80</v>
      </c>
      <c r="E14" s="74">
        <v>2400</v>
      </c>
      <c r="F14" s="75">
        <v>21</v>
      </c>
      <c r="G14" s="75">
        <v>17</v>
      </c>
      <c r="H14" s="75">
        <v>7</v>
      </c>
      <c r="I14" s="76">
        <f t="shared" si="0"/>
        <v>2499</v>
      </c>
      <c r="J14" s="77">
        <f t="shared" si="1"/>
        <v>0.49980000000000002</v>
      </c>
      <c r="K14" s="78">
        <v>2000</v>
      </c>
      <c r="L14" s="79">
        <f>IF(K14="","",ROUND(K14/Configuración!$B$4,2))</f>
        <v>21.05</v>
      </c>
      <c r="M14" s="79">
        <f>IF(E14="","",ROUND(MAX(E14/1000,IF(I14="",0,I14/5000))*Configuración!$B$10,2))</f>
        <v>39.89</v>
      </c>
      <c r="N14" s="79">
        <f>IF(I14="","",ROUND(I14/28316.85*Configuración!$B$15,2))</f>
        <v>3.97</v>
      </c>
      <c r="O14" s="79">
        <f>IF(L14="","",ROUND(L14*Configuración!$B$16,2))</f>
        <v>0.63</v>
      </c>
      <c r="P14" s="79">
        <f>IF(L14="","",ROUND(L14*Configuración!$B$18,2))</f>
        <v>0</v>
      </c>
      <c r="Q14" s="80">
        <f t="shared" si="2"/>
        <v>65.540000000000006</v>
      </c>
      <c r="R14" s="84" t="s">
        <v>116</v>
      </c>
      <c r="S14" s="82">
        <v>0.25</v>
      </c>
      <c r="T14" s="83">
        <f t="shared" si="3"/>
        <v>87</v>
      </c>
      <c r="U14" s="79">
        <f t="shared" si="4"/>
        <v>21.46</v>
      </c>
      <c r="V14" s="79"/>
    </row>
    <row r="15" spans="1:22" ht="14.25" customHeight="1">
      <c r="A15" s="71" t="s">
        <v>117</v>
      </c>
      <c r="B15" s="73" t="s">
        <v>118</v>
      </c>
      <c r="C15" s="72" t="s">
        <v>119</v>
      </c>
      <c r="D15" s="73" t="s">
        <v>104</v>
      </c>
      <c r="E15" s="74">
        <v>600</v>
      </c>
      <c r="F15" s="75">
        <v>22</v>
      </c>
      <c r="G15" s="75">
        <v>14</v>
      </c>
      <c r="H15" s="75">
        <v>10</v>
      </c>
      <c r="I15" s="76">
        <f t="shared" si="0"/>
        <v>3080</v>
      </c>
      <c r="J15" s="77">
        <f t="shared" si="1"/>
        <v>0.61599999999999999</v>
      </c>
      <c r="K15" s="78">
        <v>1229</v>
      </c>
      <c r="L15" s="79">
        <f>IF(K15="","",ROUND(K15/Configuración!$B$4,2))</f>
        <v>12.94</v>
      </c>
      <c r="M15" s="79">
        <f>IF(E15="","",ROUND(MAX(E15/1000,IF(I15="",0,I15/5000))*Configuración!$B$10,2))</f>
        <v>10.24</v>
      </c>
      <c r="N15" s="79">
        <f>IF(I15="","",ROUND(I15/28316.85*Configuración!$B$15,2))</f>
        <v>4.8899999999999997</v>
      </c>
      <c r="O15" s="79">
        <f>IF(L15="","",ROUND(L15*Configuración!$B$16,2))</f>
        <v>0.39</v>
      </c>
      <c r="P15" s="79">
        <f>IF(L15="","",ROUND(L15*Configuración!$B$18,2))</f>
        <v>0</v>
      </c>
      <c r="Q15" s="80">
        <f t="shared" si="2"/>
        <v>28.46</v>
      </c>
      <c r="R15" s="81"/>
      <c r="S15" s="82">
        <v>0.4</v>
      </c>
      <c r="T15" s="83">
        <f t="shared" si="3"/>
        <v>47</v>
      </c>
      <c r="U15" s="79">
        <f t="shared" si="4"/>
        <v>18.54</v>
      </c>
      <c r="V15" s="79"/>
    </row>
    <row r="16" spans="1:22" ht="14.25" customHeight="1">
      <c r="A16" s="71" t="s">
        <v>120</v>
      </c>
      <c r="B16" s="73" t="s">
        <v>121</v>
      </c>
      <c r="C16" s="73" t="s">
        <v>122</v>
      </c>
      <c r="D16" s="73" t="s">
        <v>85</v>
      </c>
      <c r="E16" s="74">
        <v>80</v>
      </c>
      <c r="F16" s="75">
        <v>12</v>
      </c>
      <c r="G16" s="75">
        <v>4</v>
      </c>
      <c r="H16" s="75">
        <v>4</v>
      </c>
      <c r="I16" s="76">
        <f t="shared" si="0"/>
        <v>192</v>
      </c>
      <c r="J16" s="77">
        <f t="shared" si="1"/>
        <v>3.8399999999999997E-2</v>
      </c>
      <c r="K16" s="78">
        <v>232</v>
      </c>
      <c r="L16" s="79">
        <f>IF(K16="","",ROUND(K16/Configuración!$B$4,2))</f>
        <v>2.44</v>
      </c>
      <c r="M16" s="79">
        <f>IF(E16="","",ROUND(MAX(E16/1000,IF(I16="",0,I16/5000))*Configuración!$B$10,2))</f>
        <v>1.33</v>
      </c>
      <c r="N16" s="79">
        <f>IF(I16="","",ROUND(I16/28316.85*Configuración!$B$15,2))</f>
        <v>0.31</v>
      </c>
      <c r="O16" s="79">
        <f>IF(L16="","",ROUND(L16*Configuración!$B$16,2))</f>
        <v>7.0000000000000007E-2</v>
      </c>
      <c r="P16" s="79">
        <f>IF(L16="","",ROUND(L16*Configuración!$B$18,2))</f>
        <v>0</v>
      </c>
      <c r="Q16" s="80">
        <f t="shared" si="2"/>
        <v>4.1500000000000004</v>
      </c>
      <c r="R16" s="81"/>
      <c r="S16" s="82">
        <v>0.4</v>
      </c>
      <c r="T16" s="83">
        <f t="shared" si="3"/>
        <v>7</v>
      </c>
      <c r="U16" s="79">
        <f t="shared" si="4"/>
        <v>2.85</v>
      </c>
      <c r="V16" s="79"/>
    </row>
    <row r="17" spans="1:22" ht="14.25" customHeight="1">
      <c r="A17" s="71" t="s">
        <v>123</v>
      </c>
      <c r="B17" s="73"/>
      <c r="C17" s="72" t="s">
        <v>124</v>
      </c>
      <c r="D17" s="73" t="s">
        <v>85</v>
      </c>
      <c r="E17" s="74">
        <v>100</v>
      </c>
      <c r="F17" s="75">
        <v>10</v>
      </c>
      <c r="G17" s="75">
        <v>10</v>
      </c>
      <c r="H17" s="75">
        <v>5</v>
      </c>
      <c r="I17" s="76">
        <f t="shared" si="0"/>
        <v>500</v>
      </c>
      <c r="J17" s="77">
        <f t="shared" si="1"/>
        <v>0.1</v>
      </c>
      <c r="K17" s="78">
        <v>100</v>
      </c>
      <c r="L17" s="79">
        <f>IF(K17="","",ROUND(K17/Configuración!$B$4,2))</f>
        <v>1.05</v>
      </c>
      <c r="M17" s="79">
        <f>IF(E17="","",ROUND(MAX(E17/1000,IF(I17="",0,I17/5000))*Configuración!$B$10,2))</f>
        <v>1.66</v>
      </c>
      <c r="N17" s="79">
        <f>IF(I17="","",ROUND(I17/28316.85*Configuración!$B$15,2))</f>
        <v>0.79</v>
      </c>
      <c r="O17" s="79">
        <f>IF(L17="","",ROUND(L17*Configuración!$B$16,2))</f>
        <v>0.03</v>
      </c>
      <c r="P17" s="79">
        <f>IF(L17="","",ROUND(L17*Configuración!$B$18,2))</f>
        <v>0</v>
      </c>
      <c r="Q17" s="80">
        <f t="shared" si="2"/>
        <v>3.53</v>
      </c>
      <c r="R17" s="81"/>
      <c r="S17" s="82">
        <v>0.4</v>
      </c>
      <c r="T17" s="83">
        <f t="shared" si="3"/>
        <v>6</v>
      </c>
      <c r="U17" s="79">
        <f t="shared" si="4"/>
        <v>2.4700000000000002</v>
      </c>
      <c r="V17" s="79"/>
    </row>
    <row r="18" spans="1:22" ht="14.25" customHeight="1">
      <c r="A18" s="71" t="s">
        <v>125</v>
      </c>
      <c r="B18" s="86" t="s">
        <v>126</v>
      </c>
      <c r="C18" s="72" t="s">
        <v>119</v>
      </c>
      <c r="D18" s="72" t="s">
        <v>127</v>
      </c>
      <c r="E18" s="74">
        <v>200</v>
      </c>
      <c r="F18" s="75">
        <v>22</v>
      </c>
      <c r="G18" s="75">
        <v>14</v>
      </c>
      <c r="H18" s="75">
        <v>4</v>
      </c>
      <c r="I18" s="76">
        <f t="shared" si="0"/>
        <v>1232</v>
      </c>
      <c r="J18" s="77">
        <f t="shared" si="1"/>
        <v>0.24640000000000001</v>
      </c>
      <c r="K18" s="78">
        <v>275</v>
      </c>
      <c r="L18" s="79">
        <f>IF(K18="","",ROUND(K18/Configuración!$B$4,2))</f>
        <v>2.89</v>
      </c>
      <c r="M18" s="79">
        <f>IF(E18="","",ROUND(MAX(E18/1000,IF(I18="",0,I18/5000))*Configuración!$B$10,2))</f>
        <v>4.0999999999999996</v>
      </c>
      <c r="N18" s="79">
        <f>IF(I18="","",ROUND(I18/28316.85*Configuración!$B$15,2))</f>
        <v>1.96</v>
      </c>
      <c r="O18" s="79">
        <f>IF(L18="","",ROUND(L18*Configuración!$B$16,2))</f>
        <v>0.09</v>
      </c>
      <c r="P18" s="79">
        <f>IF(L18="","",ROUND(L18*Configuración!$B$18,2))</f>
        <v>0</v>
      </c>
      <c r="Q18" s="80">
        <f t="shared" si="2"/>
        <v>9.0399999999999991</v>
      </c>
      <c r="R18" s="81"/>
      <c r="S18" s="82">
        <v>0.4</v>
      </c>
      <c r="T18" s="83">
        <f t="shared" si="3"/>
        <v>15</v>
      </c>
      <c r="U18" s="79">
        <f t="shared" si="4"/>
        <v>5.96</v>
      </c>
      <c r="V18" s="79"/>
    </row>
    <row r="19" spans="1:22" ht="14.25" customHeight="1">
      <c r="A19" s="71" t="s">
        <v>128</v>
      </c>
      <c r="B19" s="73" t="s">
        <v>129</v>
      </c>
      <c r="C19" s="72" t="s">
        <v>119</v>
      </c>
      <c r="D19" s="73" t="s">
        <v>130</v>
      </c>
      <c r="E19" s="74">
        <v>1000</v>
      </c>
      <c r="F19" s="75">
        <v>22</v>
      </c>
      <c r="G19" s="75">
        <v>16</v>
      </c>
      <c r="H19" s="75">
        <v>10</v>
      </c>
      <c r="I19" s="76">
        <f t="shared" si="0"/>
        <v>3520</v>
      </c>
      <c r="J19" s="77">
        <f t="shared" si="1"/>
        <v>0.70399999999999996</v>
      </c>
      <c r="K19" s="78">
        <v>1867</v>
      </c>
      <c r="L19" s="79">
        <f>IF(K19="","",ROUND(K19/Configuración!$B$4,2))</f>
        <v>19.649999999999999</v>
      </c>
      <c r="M19" s="79">
        <f>IF(E19="","",ROUND(MAX(E19/1000,IF(I19="",0,I19/5000))*Configuración!$B$10,2))</f>
        <v>16.62</v>
      </c>
      <c r="N19" s="79">
        <f>IF(I19="","",ROUND(I19/28316.85*Configuración!$B$15,2))</f>
        <v>5.59</v>
      </c>
      <c r="O19" s="79">
        <f>IF(L19="","",ROUND(L19*Configuración!$B$16,2))</f>
        <v>0.59</v>
      </c>
      <c r="P19" s="79">
        <f>IF(L19="","",ROUND(L19*Configuración!$B$18,2))</f>
        <v>0</v>
      </c>
      <c r="Q19" s="80">
        <f t="shared" si="2"/>
        <v>42.45</v>
      </c>
      <c r="R19" s="81"/>
      <c r="S19" s="82">
        <v>0.4</v>
      </c>
      <c r="T19" s="83">
        <f t="shared" si="3"/>
        <v>71</v>
      </c>
      <c r="U19" s="79">
        <f t="shared" si="4"/>
        <v>28.55</v>
      </c>
      <c r="V19" s="79"/>
    </row>
    <row r="20" spans="1:22" ht="14.25" customHeight="1">
      <c r="A20" s="71" t="s">
        <v>131</v>
      </c>
      <c r="B20" s="73" t="s">
        <v>132</v>
      </c>
      <c r="C20" s="72" t="s">
        <v>119</v>
      </c>
      <c r="D20" s="73" t="s">
        <v>133</v>
      </c>
      <c r="E20" s="74">
        <v>70</v>
      </c>
      <c r="F20" s="75">
        <v>8</v>
      </c>
      <c r="G20" s="75">
        <v>6</v>
      </c>
      <c r="H20" s="75">
        <v>5</v>
      </c>
      <c r="I20" s="76">
        <f t="shared" si="0"/>
        <v>240</v>
      </c>
      <c r="J20" s="77">
        <f t="shared" si="1"/>
        <v>4.8000000000000001E-2</v>
      </c>
      <c r="K20" s="78">
        <v>242</v>
      </c>
      <c r="L20" s="79">
        <f>IF(K20="","",ROUND(K20/Configuración!$B$4,2))</f>
        <v>2.5499999999999998</v>
      </c>
      <c r="M20" s="79">
        <f>IF(E20="","",ROUND(MAX(E20/1000,IF(I20="",0,I20/5000))*Configuración!$B$10,2))</f>
        <v>1.1599999999999999</v>
      </c>
      <c r="N20" s="79">
        <f>IF(I20="","",ROUND(I20/28316.85*Configuración!$B$15,2))</f>
        <v>0.38</v>
      </c>
      <c r="O20" s="79">
        <f>IF(L20="","",ROUND(L20*Configuración!$B$16,2))</f>
        <v>0.08</v>
      </c>
      <c r="P20" s="79">
        <f>IF(L20="","",ROUND(L20*Configuración!$B$18,2))</f>
        <v>0</v>
      </c>
      <c r="Q20" s="80">
        <f t="shared" si="2"/>
        <v>4.17</v>
      </c>
      <c r="R20" s="81"/>
      <c r="S20" s="82">
        <v>0.4</v>
      </c>
      <c r="T20" s="83">
        <f t="shared" si="3"/>
        <v>7</v>
      </c>
      <c r="U20" s="79">
        <f t="shared" si="4"/>
        <v>2.83</v>
      </c>
      <c r="V20" s="79"/>
    </row>
    <row r="21" spans="1:22" ht="14.25" customHeight="1">
      <c r="A21" s="71" t="s">
        <v>134</v>
      </c>
      <c r="B21" s="72" t="s">
        <v>135</v>
      </c>
      <c r="C21" s="72" t="s">
        <v>119</v>
      </c>
      <c r="D21" s="72" t="s">
        <v>136</v>
      </c>
      <c r="E21" s="74">
        <v>70</v>
      </c>
      <c r="F21" s="75">
        <v>8</v>
      </c>
      <c r="G21" s="75">
        <v>6</v>
      </c>
      <c r="H21" s="75">
        <v>5</v>
      </c>
      <c r="I21" s="76">
        <f t="shared" si="0"/>
        <v>240</v>
      </c>
      <c r="J21" s="77">
        <f t="shared" si="1"/>
        <v>4.8000000000000001E-2</v>
      </c>
      <c r="K21" s="78">
        <v>1155</v>
      </c>
      <c r="L21" s="79">
        <f>IF(K21="","",ROUND(K21/Configuración!$B$4,2))</f>
        <v>12.16</v>
      </c>
      <c r="M21" s="79">
        <f>IF(E21="","",ROUND(MAX(E21/1000,IF(I21="",0,I21/5000))*Configuración!$B$10,2))</f>
        <v>1.1599999999999999</v>
      </c>
      <c r="N21" s="79">
        <f>IF(I21="","",ROUND(I21/28316.85*Configuración!$B$15,2))</f>
        <v>0.38</v>
      </c>
      <c r="O21" s="79">
        <f>IF(L21="","",ROUND(L21*Configuración!$B$16,2))</f>
        <v>0.36</v>
      </c>
      <c r="P21" s="79">
        <f>IF(L21="","",ROUND(L21*Configuración!$B$18,2))</f>
        <v>0</v>
      </c>
      <c r="Q21" s="80">
        <f t="shared" si="2"/>
        <v>14.06</v>
      </c>
      <c r="R21" s="87" t="s">
        <v>137</v>
      </c>
      <c r="S21" s="82">
        <v>0.4</v>
      </c>
      <c r="T21" s="83">
        <f t="shared" si="3"/>
        <v>23</v>
      </c>
      <c r="U21" s="79">
        <f t="shared" si="4"/>
        <v>8.94</v>
      </c>
      <c r="V21" s="79"/>
    </row>
    <row r="22" spans="1:22" ht="14.25" customHeight="1">
      <c r="A22" s="85" t="s">
        <v>138</v>
      </c>
      <c r="B22" s="88" t="s">
        <v>139</v>
      </c>
      <c r="C22" s="72" t="s">
        <v>119</v>
      </c>
      <c r="D22" s="72" t="s">
        <v>138</v>
      </c>
      <c r="E22" s="74">
        <v>60</v>
      </c>
      <c r="F22" s="75">
        <v>16</v>
      </c>
      <c r="G22" s="75">
        <v>12</v>
      </c>
      <c r="H22" s="75">
        <v>5</v>
      </c>
      <c r="I22" s="76">
        <f t="shared" si="0"/>
        <v>960</v>
      </c>
      <c r="J22" s="77">
        <f t="shared" si="1"/>
        <v>0.192</v>
      </c>
      <c r="K22" s="78">
        <v>70</v>
      </c>
      <c r="L22" s="79">
        <f>IF(K22="","",ROUND(K22/Configuración!$B$4,2))</f>
        <v>0.74</v>
      </c>
      <c r="M22" s="79">
        <f>IF(E22="","",ROUND(MAX(E22/1000,IF(I22="",0,I22/5000))*Configuración!$B$10,2))</f>
        <v>3.19</v>
      </c>
      <c r="N22" s="79">
        <f>IF(I22="","",ROUND(I22/28316.85*Configuración!$B$15,2))</f>
        <v>1.53</v>
      </c>
      <c r="O22" s="79">
        <f>IF(L22="","",ROUND(L22*Configuración!$B$16,2))</f>
        <v>0.02</v>
      </c>
      <c r="P22" s="79">
        <f>IF(L22="","",ROUND(L22*Configuración!$B$18,2))</f>
        <v>0</v>
      </c>
      <c r="Q22" s="80">
        <f t="shared" si="2"/>
        <v>5.48</v>
      </c>
      <c r="R22" s="89"/>
      <c r="S22" s="82">
        <v>0.3</v>
      </c>
      <c r="T22" s="83">
        <f t="shared" si="3"/>
        <v>8</v>
      </c>
      <c r="U22" s="79">
        <f t="shared" si="4"/>
        <v>2.52</v>
      </c>
      <c r="V22" s="79"/>
    </row>
    <row r="23" spans="1:22" ht="14.25" customHeight="1">
      <c r="A23" s="71"/>
      <c r="C23" s="72"/>
      <c r="D23" s="73"/>
      <c r="E23" s="74"/>
      <c r="F23" s="75"/>
      <c r="G23" s="75"/>
      <c r="H23" s="75"/>
      <c r="I23" s="76" t="str">
        <f t="shared" si="0"/>
        <v/>
      </c>
      <c r="J23" s="77" t="str">
        <f t="shared" si="1"/>
        <v/>
      </c>
      <c r="K23" s="78"/>
      <c r="L23" s="79" t="str">
        <f>IF(K23="","",ROUND(K23/Configuración!$B$4,2))</f>
        <v/>
      </c>
      <c r="M23" s="79" t="str">
        <f>IF(E23="","",ROUND(MAX(E23/1000,IF(I23="",0,I23/5000))*Configuración!$B$10,2))</f>
        <v/>
      </c>
      <c r="N23" s="79" t="str">
        <f>IF(I23="","",ROUND(I23/28316.85*Configuración!$B$15,2))</f>
        <v/>
      </c>
      <c r="O23" s="79" t="str">
        <f>IF(L23="","",ROUND(L23*Configuración!$B$16,2))</f>
        <v/>
      </c>
      <c r="P23" s="79" t="str">
        <f>IF(L23="","",ROUND(L23*Configuración!$B$18,2))</f>
        <v/>
      </c>
      <c r="Q23" s="80" t="str">
        <f t="shared" si="2"/>
        <v/>
      </c>
      <c r="R23" s="89"/>
      <c r="S23" s="82">
        <v>0.4</v>
      </c>
      <c r="T23" s="83" t="str">
        <f t="shared" si="3"/>
        <v/>
      </c>
      <c r="U23" s="79" t="str">
        <f t="shared" si="4"/>
        <v/>
      </c>
      <c r="V23" s="79"/>
    </row>
    <row r="24" spans="1:22" ht="14.25" customHeight="1">
      <c r="A24" s="71"/>
      <c r="B24" s="73"/>
      <c r="C24" s="72"/>
      <c r="D24" s="73"/>
      <c r="E24" s="74"/>
      <c r="F24" s="75"/>
      <c r="G24" s="75"/>
      <c r="H24" s="75"/>
      <c r="I24" s="76" t="str">
        <f t="shared" si="0"/>
        <v/>
      </c>
      <c r="J24" s="77" t="str">
        <f t="shared" si="1"/>
        <v/>
      </c>
      <c r="K24" s="78"/>
      <c r="L24" s="79" t="str">
        <f>IF(K24="","",ROUND(K24/Configuración!$B$4,2))</f>
        <v/>
      </c>
      <c r="M24" s="79" t="str">
        <f>IF(E24="","",ROUND(MAX(E24/1000,IF(I24="",0,I24/5000))*Configuración!$B$10,2))</f>
        <v/>
      </c>
      <c r="N24" s="79" t="str">
        <f>IF(I24="","",ROUND(I24/28316.85*Configuración!$B$15,2))</f>
        <v/>
      </c>
      <c r="O24" s="79" t="str">
        <f>IF(L24="","",ROUND(L24*Configuración!$B$16,2))</f>
        <v/>
      </c>
      <c r="P24" s="79" t="str">
        <f>IF(L24="","",ROUND(L24*Configuración!$B$18,2))</f>
        <v/>
      </c>
      <c r="Q24" s="80" t="str">
        <f t="shared" si="2"/>
        <v/>
      </c>
      <c r="R24" s="81"/>
      <c r="S24" s="82">
        <v>0.4</v>
      </c>
      <c r="T24" s="83" t="str">
        <f t="shared" si="3"/>
        <v/>
      </c>
      <c r="U24" s="79" t="str">
        <f t="shared" si="4"/>
        <v/>
      </c>
      <c r="V24" s="79"/>
    </row>
    <row r="25" spans="1:22" ht="14.25" customHeight="1">
      <c r="A25" s="71"/>
      <c r="B25" s="73"/>
      <c r="C25" s="72"/>
      <c r="D25" s="73"/>
      <c r="E25" s="74"/>
      <c r="F25" s="75"/>
      <c r="G25" s="75"/>
      <c r="H25" s="75"/>
      <c r="I25" s="76" t="str">
        <f t="shared" si="0"/>
        <v/>
      </c>
      <c r="J25" s="77" t="str">
        <f t="shared" si="1"/>
        <v/>
      </c>
      <c r="K25" s="78"/>
      <c r="L25" s="79" t="str">
        <f>IF(K25="","",ROUND(K25/Configuración!$B$4,2))</f>
        <v/>
      </c>
      <c r="M25" s="79" t="str">
        <f>IF(E25="","",ROUND(MAX(E25/1000,IF(I25="",0,I25/5000))*Configuración!$B$10,2))</f>
        <v/>
      </c>
      <c r="N25" s="79" t="str">
        <f>IF(I25="","",ROUND(I25/28316.85*Configuración!$B$15,2))</f>
        <v/>
      </c>
      <c r="O25" s="79" t="str">
        <f>IF(L25="","",ROUND(L25*Configuración!$B$16,2))</f>
        <v/>
      </c>
      <c r="P25" s="79" t="str">
        <f>IF(L25="","",ROUND(L25*Configuración!$B$18,2))</f>
        <v/>
      </c>
      <c r="Q25" s="80" t="str">
        <f t="shared" si="2"/>
        <v/>
      </c>
      <c r="R25" s="81"/>
      <c r="S25" s="82">
        <v>0.4</v>
      </c>
      <c r="T25" s="83" t="str">
        <f t="shared" si="3"/>
        <v/>
      </c>
      <c r="U25" s="79" t="str">
        <f t="shared" si="4"/>
        <v/>
      </c>
      <c r="V25" s="79"/>
    </row>
    <row r="26" spans="1:22" ht="14.25" customHeight="1">
      <c r="A26" s="71"/>
      <c r="B26" s="73"/>
      <c r="C26" s="72"/>
      <c r="D26" s="73"/>
      <c r="E26" s="74"/>
      <c r="F26" s="75"/>
      <c r="G26" s="75"/>
      <c r="H26" s="75"/>
      <c r="I26" s="76" t="str">
        <f t="shared" si="0"/>
        <v/>
      </c>
      <c r="J26" s="77" t="str">
        <f t="shared" si="1"/>
        <v/>
      </c>
      <c r="K26" s="78"/>
      <c r="L26" s="79" t="str">
        <f>IF(K26="","",ROUND(K26/Configuración!$B$4,2))</f>
        <v/>
      </c>
      <c r="M26" s="79" t="str">
        <f>IF(E26="","",ROUND(MAX(E26/1000,IF(I26="",0,I26/5000))*Configuración!$B$10,2))</f>
        <v/>
      </c>
      <c r="N26" s="79" t="str">
        <f>IF(I26="","",ROUND(I26/28316.85*Configuración!$B$15,2))</f>
        <v/>
      </c>
      <c r="O26" s="79" t="str">
        <f>IF(L26="","",ROUND(L26*Configuración!$B$16,2))</f>
        <v/>
      </c>
      <c r="P26" s="79" t="str">
        <f>IF(L26="","",ROUND(L26*Configuración!$B$18,2))</f>
        <v/>
      </c>
      <c r="Q26" s="80" t="str">
        <f t="shared" si="2"/>
        <v/>
      </c>
      <c r="R26" s="81"/>
      <c r="S26" s="82">
        <v>0.4</v>
      </c>
      <c r="T26" s="83" t="str">
        <f t="shared" si="3"/>
        <v/>
      </c>
      <c r="U26" s="79" t="str">
        <f t="shared" si="4"/>
        <v/>
      </c>
      <c r="V26" s="79"/>
    </row>
    <row r="27" spans="1:22" ht="14.25" customHeight="1">
      <c r="A27" s="71"/>
      <c r="B27" s="73"/>
      <c r="C27" s="72"/>
      <c r="D27" s="73"/>
      <c r="E27" s="74"/>
      <c r="F27" s="75"/>
      <c r="G27" s="75"/>
      <c r="H27" s="75"/>
      <c r="I27" s="76" t="str">
        <f t="shared" si="0"/>
        <v/>
      </c>
      <c r="J27" s="77" t="str">
        <f t="shared" si="1"/>
        <v/>
      </c>
      <c r="K27" s="78"/>
      <c r="L27" s="79" t="str">
        <f>IF(K27="","",ROUND(K27/Configuración!$B$4,2))</f>
        <v/>
      </c>
      <c r="M27" s="79" t="str">
        <f>IF(E27="","",ROUND(MAX(E27/1000,IF(I27="",0,I27/5000))*Configuración!$B$10,2))</f>
        <v/>
      </c>
      <c r="N27" s="79" t="str">
        <f>IF(I27="","",ROUND(I27/28316.85*Configuración!$B$15,2))</f>
        <v/>
      </c>
      <c r="O27" s="79" t="str">
        <f>IF(L27="","",ROUND(L27*Configuración!$B$16,2))</f>
        <v/>
      </c>
      <c r="P27" s="79" t="str">
        <f>IF(L27="","",ROUND(L27*Configuración!$B$18,2))</f>
        <v/>
      </c>
      <c r="Q27" s="80" t="str">
        <f t="shared" si="2"/>
        <v/>
      </c>
      <c r="R27" s="81"/>
      <c r="S27" s="82">
        <v>0.4</v>
      </c>
      <c r="T27" s="83" t="str">
        <f t="shared" si="3"/>
        <v/>
      </c>
      <c r="U27" s="79" t="str">
        <f t="shared" si="4"/>
        <v/>
      </c>
      <c r="V27" s="79"/>
    </row>
    <row r="28" spans="1:22" ht="14.25" customHeight="1">
      <c r="A28" s="71"/>
      <c r="B28" s="73"/>
      <c r="C28" s="72"/>
      <c r="D28" s="73"/>
      <c r="E28" s="74"/>
      <c r="F28" s="75"/>
      <c r="G28" s="75"/>
      <c r="H28" s="75"/>
      <c r="I28" s="76" t="str">
        <f t="shared" si="0"/>
        <v/>
      </c>
      <c r="J28" s="77" t="str">
        <f t="shared" si="1"/>
        <v/>
      </c>
      <c r="K28" s="78"/>
      <c r="L28" s="79" t="str">
        <f>IF(K28="","",ROUND(K28/Configuración!$B$4,2))</f>
        <v/>
      </c>
      <c r="M28" s="79" t="str">
        <f>IF(E28="","",ROUND(MAX(E28/1000,IF(I28="",0,I28/5000))*Configuración!$B$10,2))</f>
        <v/>
      </c>
      <c r="N28" s="79" t="str">
        <f>IF(I28="","",ROUND(I28/28316.85*Configuración!$B$15,2))</f>
        <v/>
      </c>
      <c r="O28" s="79" t="str">
        <f>IF(L28="","",ROUND(L28*Configuración!$B$16,2))</f>
        <v/>
      </c>
      <c r="P28" s="79" t="str">
        <f>IF(L28="","",ROUND(L28*Configuración!$B$18,2))</f>
        <v/>
      </c>
      <c r="Q28" s="80" t="str">
        <f t="shared" si="2"/>
        <v/>
      </c>
      <c r="R28" s="81"/>
      <c r="S28" s="82">
        <v>0.4</v>
      </c>
      <c r="T28" s="83" t="str">
        <f t="shared" si="3"/>
        <v/>
      </c>
      <c r="U28" s="79" t="str">
        <f t="shared" si="4"/>
        <v/>
      </c>
      <c r="V28" s="79"/>
    </row>
    <row r="29" spans="1:22" ht="14.25" customHeight="1">
      <c r="A29" s="71"/>
      <c r="B29" s="73"/>
      <c r="C29" s="72"/>
      <c r="D29" s="73"/>
      <c r="E29" s="74"/>
      <c r="F29" s="75"/>
      <c r="G29" s="75"/>
      <c r="H29" s="75"/>
      <c r="I29" s="76" t="str">
        <f t="shared" si="0"/>
        <v/>
      </c>
      <c r="J29" s="77" t="str">
        <f t="shared" si="1"/>
        <v/>
      </c>
      <c r="K29" s="78"/>
      <c r="L29" s="79" t="str">
        <f>IF(K29="","",ROUND(K29/Configuración!$B$4,2))</f>
        <v/>
      </c>
      <c r="M29" s="79" t="str">
        <f>IF(E29="","",ROUND(MAX(E29/1000,IF(I29="",0,I29/5000))*Configuración!$B$10,2))</f>
        <v/>
      </c>
      <c r="N29" s="79" t="str">
        <f>IF(I29="","",ROUND(I29/28316.85*Configuración!$B$15,2))</f>
        <v/>
      </c>
      <c r="O29" s="79" t="str">
        <f>IF(L29="","",ROUND(L29*Configuración!$B$16,2))</f>
        <v/>
      </c>
      <c r="P29" s="79" t="str">
        <f>IF(L29="","",ROUND(L29*Configuración!$B$18,2))</f>
        <v/>
      </c>
      <c r="Q29" s="80" t="str">
        <f t="shared" si="2"/>
        <v/>
      </c>
      <c r="R29" s="81"/>
      <c r="S29" s="82">
        <v>0.4</v>
      </c>
      <c r="T29" s="83" t="str">
        <f t="shared" si="3"/>
        <v/>
      </c>
      <c r="U29" s="79" t="str">
        <f t="shared" si="4"/>
        <v/>
      </c>
      <c r="V29" s="79"/>
    </row>
    <row r="30" spans="1:22" ht="14.25" customHeight="1">
      <c r="A30" s="71"/>
      <c r="B30" s="73"/>
      <c r="C30" s="72"/>
      <c r="D30" s="73"/>
      <c r="E30" s="74"/>
      <c r="F30" s="75"/>
      <c r="G30" s="75"/>
      <c r="H30" s="75"/>
      <c r="I30" s="76" t="str">
        <f t="shared" si="0"/>
        <v/>
      </c>
      <c r="J30" s="77" t="str">
        <f t="shared" si="1"/>
        <v/>
      </c>
      <c r="K30" s="78"/>
      <c r="L30" s="79" t="str">
        <f>IF(K30="","",ROUND(K30/Configuración!$B$4,2))</f>
        <v/>
      </c>
      <c r="M30" s="79" t="str">
        <f>IF(E30="","",ROUND(MAX(E30/1000,IF(I30="",0,I30/5000))*Configuración!$B$10,2))</f>
        <v/>
      </c>
      <c r="N30" s="79" t="str">
        <f>IF(I30="","",ROUND(I30/28316.85*Configuración!$B$15,2))</f>
        <v/>
      </c>
      <c r="O30" s="79" t="str">
        <f>IF(L30="","",ROUND(L30*Configuración!$B$16,2))</f>
        <v/>
      </c>
      <c r="P30" s="79" t="str">
        <f>IF(L30="","",ROUND(L30*Configuración!$B$18,2))</f>
        <v/>
      </c>
      <c r="Q30" s="80" t="str">
        <f t="shared" si="2"/>
        <v/>
      </c>
      <c r="R30" s="81"/>
      <c r="S30" s="82">
        <v>0.4</v>
      </c>
      <c r="T30" s="83" t="str">
        <f t="shared" si="3"/>
        <v/>
      </c>
      <c r="U30" s="79" t="str">
        <f t="shared" si="4"/>
        <v/>
      </c>
      <c r="V30" s="79"/>
    </row>
    <row r="31" spans="1:22" ht="14.25" customHeight="1">
      <c r="A31" s="71"/>
      <c r="B31" s="73"/>
      <c r="C31" s="72"/>
      <c r="D31" s="73"/>
      <c r="E31" s="74"/>
      <c r="F31" s="75"/>
      <c r="G31" s="75"/>
      <c r="H31" s="75"/>
      <c r="I31" s="76" t="str">
        <f t="shared" si="0"/>
        <v/>
      </c>
      <c r="J31" s="77" t="str">
        <f t="shared" si="1"/>
        <v/>
      </c>
      <c r="K31" s="78"/>
      <c r="L31" s="79" t="str">
        <f>IF(K31="","",ROUND(K31/Configuración!$B$4,2))</f>
        <v/>
      </c>
      <c r="M31" s="79" t="str">
        <f>IF(E31="","",ROUND(MAX(E31/1000,IF(I31="",0,I31/5000))*Configuración!$B$10,2))</f>
        <v/>
      </c>
      <c r="N31" s="79" t="str">
        <f>IF(I31="","",ROUND(I31/28316.85*Configuración!$B$15,2))</f>
        <v/>
      </c>
      <c r="O31" s="79" t="str">
        <f>IF(L31="","",ROUND(L31*Configuración!$B$16,2))</f>
        <v/>
      </c>
      <c r="P31" s="79" t="str">
        <f>IF(L31="","",ROUND(L31*Configuración!$B$18,2))</f>
        <v/>
      </c>
      <c r="Q31" s="80" t="str">
        <f t="shared" si="2"/>
        <v/>
      </c>
      <c r="R31" s="81"/>
      <c r="S31" s="82">
        <v>0.4</v>
      </c>
      <c r="T31" s="83" t="str">
        <f t="shared" si="3"/>
        <v/>
      </c>
      <c r="U31" s="79" t="str">
        <f t="shared" si="4"/>
        <v/>
      </c>
      <c r="V31" s="79"/>
    </row>
    <row r="32" spans="1:22" ht="14.25" customHeight="1">
      <c r="A32" s="71"/>
      <c r="B32" s="73"/>
      <c r="C32" s="72"/>
      <c r="D32" s="73"/>
      <c r="E32" s="74"/>
      <c r="F32" s="75"/>
      <c r="G32" s="75"/>
      <c r="H32" s="75"/>
      <c r="I32" s="76" t="str">
        <f t="shared" si="0"/>
        <v/>
      </c>
      <c r="J32" s="77" t="str">
        <f t="shared" si="1"/>
        <v/>
      </c>
      <c r="K32" s="78"/>
      <c r="L32" s="79" t="str">
        <f>IF(K32="","",ROUND(K32/Configuración!$B$4,2))</f>
        <v/>
      </c>
      <c r="M32" s="79" t="str">
        <f>IF(E32="","",ROUND(MAX(E32/1000,IF(I32="",0,I32/5000))*Configuración!$B$10,2))</f>
        <v/>
      </c>
      <c r="N32" s="79" t="str">
        <f>IF(I32="","",ROUND(I32/28316.85*Configuración!$B$15,2))</f>
        <v/>
      </c>
      <c r="O32" s="79" t="str">
        <f>IF(L32="","",ROUND(L32*Configuración!$B$16,2))</f>
        <v/>
      </c>
      <c r="P32" s="79" t="str">
        <f>IF(L32="","",ROUND(L32*Configuración!$B$18,2))</f>
        <v/>
      </c>
      <c r="Q32" s="80" t="str">
        <f t="shared" si="2"/>
        <v/>
      </c>
      <c r="R32" s="81"/>
      <c r="S32" s="82">
        <v>0.4</v>
      </c>
      <c r="T32" s="83" t="str">
        <f t="shared" si="3"/>
        <v/>
      </c>
      <c r="U32" s="79" t="str">
        <f t="shared" si="4"/>
        <v/>
      </c>
      <c r="V32" s="79"/>
    </row>
    <row r="33" spans="1:22" ht="14.25" customHeight="1">
      <c r="A33" s="71"/>
      <c r="B33" s="73"/>
      <c r="C33" s="72"/>
      <c r="D33" s="73"/>
      <c r="E33" s="74"/>
      <c r="F33" s="75"/>
      <c r="G33" s="75"/>
      <c r="H33" s="75"/>
      <c r="I33" s="76" t="str">
        <f t="shared" si="0"/>
        <v/>
      </c>
      <c r="J33" s="77" t="str">
        <f t="shared" si="1"/>
        <v/>
      </c>
      <c r="K33" s="78"/>
      <c r="L33" s="79" t="str">
        <f>IF(K33="","",ROUND(K33/Configuración!$B$4,2))</f>
        <v/>
      </c>
      <c r="M33" s="79" t="str">
        <f>IF(E33="","",ROUND(MAX(E33/1000,IF(I33="",0,I33/5000))*Configuración!$B$10,2))</f>
        <v/>
      </c>
      <c r="N33" s="79" t="str">
        <f>IF(I33="","",ROUND(I33/28316.85*Configuración!$B$15,2))</f>
        <v/>
      </c>
      <c r="O33" s="79" t="str">
        <f>IF(L33="","",ROUND(L33*Configuración!$B$16,2))</f>
        <v/>
      </c>
      <c r="P33" s="79" t="str">
        <f>IF(L33="","",ROUND(L33*Configuración!$B$18,2))</f>
        <v/>
      </c>
      <c r="Q33" s="80" t="str">
        <f t="shared" si="2"/>
        <v/>
      </c>
      <c r="R33" s="81"/>
      <c r="S33" s="82">
        <v>0.4</v>
      </c>
      <c r="T33" s="83" t="str">
        <f t="shared" si="3"/>
        <v/>
      </c>
      <c r="U33" s="79" t="str">
        <f t="shared" si="4"/>
        <v/>
      </c>
      <c r="V33" s="79"/>
    </row>
    <row r="34" spans="1:22" ht="14.25" customHeight="1">
      <c r="A34" s="71"/>
      <c r="B34" s="73"/>
      <c r="C34" s="72"/>
      <c r="D34" s="73"/>
      <c r="E34" s="74"/>
      <c r="F34" s="75"/>
      <c r="G34" s="75"/>
      <c r="H34" s="75"/>
      <c r="I34" s="76" t="str">
        <f t="shared" si="0"/>
        <v/>
      </c>
      <c r="J34" s="77" t="str">
        <f t="shared" si="1"/>
        <v/>
      </c>
      <c r="K34" s="78"/>
      <c r="L34" s="79" t="str">
        <f>IF(K34="","",ROUND(K34/Configuración!$B$4,2))</f>
        <v/>
      </c>
      <c r="M34" s="79" t="str">
        <f>IF(E34="","",ROUND(MAX(E34/1000,IF(I34="",0,I34/5000))*Configuración!$B$10,2))</f>
        <v/>
      </c>
      <c r="N34" s="79" t="str">
        <f>IF(I34="","",ROUND(I34/28316.85*Configuración!$B$15,2))</f>
        <v/>
      </c>
      <c r="O34" s="79" t="str">
        <f>IF(L34="","",ROUND(L34*Configuración!$B$16,2))</f>
        <v/>
      </c>
      <c r="P34" s="79" t="str">
        <f>IF(L34="","",ROUND(L34*Configuración!$B$18,2))</f>
        <v/>
      </c>
      <c r="Q34" s="80" t="str">
        <f t="shared" si="2"/>
        <v/>
      </c>
      <c r="R34" s="81"/>
      <c r="S34" s="82">
        <v>0.4</v>
      </c>
      <c r="T34" s="83" t="str">
        <f t="shared" si="3"/>
        <v/>
      </c>
      <c r="U34" s="79" t="str">
        <f t="shared" si="4"/>
        <v/>
      </c>
      <c r="V34" s="79"/>
    </row>
    <row r="35" spans="1:22" ht="14.25" customHeight="1">
      <c r="A35" s="71"/>
      <c r="B35" s="73"/>
      <c r="C35" s="72"/>
      <c r="D35" s="73"/>
      <c r="E35" s="74"/>
      <c r="F35" s="75"/>
      <c r="G35" s="75"/>
      <c r="H35" s="75"/>
      <c r="I35" s="76" t="str">
        <f t="shared" si="0"/>
        <v/>
      </c>
      <c r="J35" s="77" t="str">
        <f t="shared" si="1"/>
        <v/>
      </c>
      <c r="K35" s="78"/>
      <c r="L35" s="79" t="str">
        <f>IF(K35="","",ROUND(K35/Configuración!$B$4,2))</f>
        <v/>
      </c>
      <c r="M35" s="79" t="str">
        <f>IF(E35="","",ROUND(MAX(E35/1000,IF(I35="",0,I35/5000))*Configuración!$B$10,2))</f>
        <v/>
      </c>
      <c r="N35" s="79" t="str">
        <f>IF(I35="","",ROUND(I35/28316.85*Configuración!$B$15,2))</f>
        <v/>
      </c>
      <c r="O35" s="79" t="str">
        <f>IF(L35="","",ROUND(L35*Configuración!$B$16,2))</f>
        <v/>
      </c>
      <c r="P35" s="79" t="str">
        <f>IF(L35="","",ROUND(L35*Configuración!$B$18,2))</f>
        <v/>
      </c>
      <c r="Q35" s="80" t="str">
        <f t="shared" si="2"/>
        <v/>
      </c>
      <c r="R35" s="81"/>
      <c r="S35" s="82">
        <v>0.4</v>
      </c>
      <c r="T35" s="83" t="str">
        <f t="shared" si="3"/>
        <v/>
      </c>
      <c r="U35" s="79" t="str">
        <f t="shared" si="4"/>
        <v/>
      </c>
      <c r="V35" s="79"/>
    </row>
    <row r="36" spans="1:22" ht="14.25" customHeight="1">
      <c r="A36" s="71"/>
      <c r="B36" s="73"/>
      <c r="C36" s="72"/>
      <c r="D36" s="73"/>
      <c r="E36" s="74"/>
      <c r="F36" s="75"/>
      <c r="G36" s="75"/>
      <c r="H36" s="75"/>
      <c r="I36" s="76" t="str">
        <f t="shared" si="0"/>
        <v/>
      </c>
      <c r="J36" s="77" t="str">
        <f t="shared" si="1"/>
        <v/>
      </c>
      <c r="K36" s="78"/>
      <c r="L36" s="79" t="str">
        <f>IF(K36="","",ROUND(K36/Configuración!$B$4,2))</f>
        <v/>
      </c>
      <c r="M36" s="79" t="str">
        <f>IF(E36="","",ROUND(MAX(E36/1000,IF(I36="",0,I36/5000))*Configuración!$B$10,2))</f>
        <v/>
      </c>
      <c r="N36" s="79" t="str">
        <f>IF(I36="","",ROUND(I36/28316.85*Configuración!$B$15,2))</f>
        <v/>
      </c>
      <c r="O36" s="79" t="str">
        <f>IF(L36="","",ROUND(L36*Configuración!$B$16,2))</f>
        <v/>
      </c>
      <c r="P36" s="79" t="str">
        <f>IF(L36="","",ROUND(L36*Configuración!$B$18,2))</f>
        <v/>
      </c>
      <c r="Q36" s="80" t="str">
        <f t="shared" si="2"/>
        <v/>
      </c>
      <c r="R36" s="81"/>
      <c r="S36" s="82">
        <v>0.4</v>
      </c>
      <c r="T36" s="83" t="str">
        <f t="shared" si="3"/>
        <v/>
      </c>
      <c r="U36" s="79" t="str">
        <f t="shared" si="4"/>
        <v/>
      </c>
      <c r="V36" s="79"/>
    </row>
    <row r="37" spans="1:22" ht="14.25" customHeight="1">
      <c r="A37" s="71"/>
      <c r="B37" s="73"/>
      <c r="C37" s="72"/>
      <c r="D37" s="73"/>
      <c r="E37" s="74"/>
      <c r="F37" s="75"/>
      <c r="G37" s="75"/>
      <c r="H37" s="75"/>
      <c r="I37" s="76" t="str">
        <f t="shared" si="0"/>
        <v/>
      </c>
      <c r="J37" s="77" t="str">
        <f t="shared" si="1"/>
        <v/>
      </c>
      <c r="K37" s="78"/>
      <c r="L37" s="79" t="str">
        <f>IF(K37="","",ROUND(K37/Configuración!$B$4,2))</f>
        <v/>
      </c>
      <c r="M37" s="79" t="str">
        <f>IF(E37="","",ROUND(MAX(E37/1000,IF(I37="",0,I37/5000))*Configuración!$B$10,2))</f>
        <v/>
      </c>
      <c r="N37" s="79" t="str">
        <f>IF(I37="","",ROUND(I37/28316.85*Configuración!$B$15,2))</f>
        <v/>
      </c>
      <c r="O37" s="79" t="str">
        <f>IF(L37="","",ROUND(L37*Configuración!$B$16,2))</f>
        <v/>
      </c>
      <c r="P37" s="79" t="str">
        <f>IF(L37="","",ROUND(L37*Configuración!$B$18,2))</f>
        <v/>
      </c>
      <c r="Q37" s="80" t="str">
        <f t="shared" si="2"/>
        <v/>
      </c>
      <c r="R37" s="81"/>
      <c r="S37" s="82">
        <v>0.4</v>
      </c>
      <c r="T37" s="83" t="str">
        <f t="shared" si="3"/>
        <v/>
      </c>
      <c r="U37" s="79" t="str">
        <f t="shared" si="4"/>
        <v/>
      </c>
      <c r="V37" s="79"/>
    </row>
    <row r="38" spans="1:22" ht="14.25" customHeight="1">
      <c r="A38" s="71"/>
      <c r="B38" s="73"/>
      <c r="C38" s="72"/>
      <c r="D38" s="73"/>
      <c r="E38" s="74"/>
      <c r="F38" s="75"/>
      <c r="G38" s="75"/>
      <c r="H38" s="75"/>
      <c r="I38" s="76" t="str">
        <f t="shared" si="0"/>
        <v/>
      </c>
      <c r="J38" s="77" t="str">
        <f t="shared" si="1"/>
        <v/>
      </c>
      <c r="K38" s="78"/>
      <c r="L38" s="79" t="str">
        <f>IF(K38="","",ROUND(K38/Configuración!$B$4,2))</f>
        <v/>
      </c>
      <c r="M38" s="79" t="str">
        <f>IF(E38="","",ROUND(MAX(E38/1000,IF(I38="",0,I38/5000))*Configuración!$B$10,2))</f>
        <v/>
      </c>
      <c r="N38" s="79" t="str">
        <f>IF(I38="","",ROUND(I38/28316.85*Configuración!$B$15,2))</f>
        <v/>
      </c>
      <c r="O38" s="79" t="str">
        <f>IF(L38="","",ROUND(L38*Configuración!$B$16,2))</f>
        <v/>
      </c>
      <c r="P38" s="79" t="str">
        <f>IF(L38="","",ROUND(L38*Configuración!$B$18,2))</f>
        <v/>
      </c>
      <c r="Q38" s="80" t="str">
        <f t="shared" si="2"/>
        <v/>
      </c>
      <c r="R38" s="81"/>
      <c r="S38" s="82">
        <v>0.4</v>
      </c>
      <c r="T38" s="83" t="str">
        <f t="shared" si="3"/>
        <v/>
      </c>
      <c r="U38" s="79" t="str">
        <f t="shared" si="4"/>
        <v/>
      </c>
      <c r="V38" s="79"/>
    </row>
    <row r="39" spans="1:22" ht="14.25" customHeight="1">
      <c r="A39" s="71"/>
      <c r="B39" s="73"/>
      <c r="C39" s="72"/>
      <c r="D39" s="73"/>
      <c r="E39" s="74"/>
      <c r="F39" s="75"/>
      <c r="G39" s="75"/>
      <c r="H39" s="75"/>
      <c r="I39" s="76" t="str">
        <f t="shared" si="0"/>
        <v/>
      </c>
      <c r="J39" s="77" t="str">
        <f t="shared" si="1"/>
        <v/>
      </c>
      <c r="K39" s="78"/>
      <c r="L39" s="79" t="str">
        <f>IF(K39="","",ROUND(K39/Configuración!$B$4,2))</f>
        <v/>
      </c>
      <c r="M39" s="79" t="str">
        <f>IF(E39="","",ROUND(MAX(E39/1000,IF(I39="",0,I39/5000))*Configuración!$B$10,2))</f>
        <v/>
      </c>
      <c r="N39" s="79" t="str">
        <f>IF(I39="","",ROUND(I39/28316.85*Configuración!$B$15,2))</f>
        <v/>
      </c>
      <c r="O39" s="79" t="str">
        <f>IF(L39="","",ROUND(L39*Configuración!$B$16,2))</f>
        <v/>
      </c>
      <c r="P39" s="79" t="str">
        <f>IF(L39="","",ROUND(L39*Configuración!$B$18,2))</f>
        <v/>
      </c>
      <c r="Q39" s="80" t="str">
        <f t="shared" si="2"/>
        <v/>
      </c>
      <c r="R39" s="81"/>
      <c r="S39" s="82">
        <v>0.4</v>
      </c>
      <c r="T39" s="83" t="str">
        <f t="shared" si="3"/>
        <v/>
      </c>
      <c r="U39" s="79" t="str">
        <f t="shared" si="4"/>
        <v/>
      </c>
      <c r="V39" s="79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zoomScaleNormal="100"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4.4"/>
  <cols>
    <col min="1" max="1" width="30" customWidth="1"/>
    <col min="2" max="2" width="7" customWidth="1"/>
    <col min="3" max="3" width="13" customWidth="1"/>
    <col min="4" max="4" width="11" customWidth="1"/>
    <col min="5" max="5" width="12" customWidth="1"/>
    <col min="6" max="7" width="11" customWidth="1"/>
    <col min="8" max="8" width="12" customWidth="1"/>
    <col min="9" max="11" width="13" customWidth="1"/>
    <col min="12" max="26" width="12" customWidth="1"/>
  </cols>
  <sheetData>
    <row r="1" spans="1:14" ht="27.75" customHeight="1">
      <c r="A1" s="8" t="s">
        <v>140</v>
      </c>
      <c r="B1" s="8"/>
      <c r="C1" s="8"/>
      <c r="D1" s="8"/>
      <c r="E1" s="8"/>
      <c r="F1" s="8"/>
      <c r="G1" s="8"/>
      <c r="H1" s="8"/>
    </row>
    <row r="2" spans="1:14" ht="15" customHeight="1">
      <c r="A2" s="7" t="s">
        <v>141</v>
      </c>
      <c r="B2" s="7"/>
      <c r="C2" s="7"/>
      <c r="D2" s="7"/>
      <c r="E2" s="7"/>
      <c r="F2" s="7"/>
      <c r="G2" s="7"/>
      <c r="H2" s="7"/>
    </row>
    <row r="3" spans="1:14" ht="15" customHeight="1"/>
    <row r="4" spans="1:14" ht="39.75" customHeight="1">
      <c r="A4" s="42" t="s">
        <v>142</v>
      </c>
      <c r="B4" s="42" t="s">
        <v>143</v>
      </c>
      <c r="C4" s="42" t="s">
        <v>144</v>
      </c>
      <c r="D4" s="42" t="s">
        <v>145</v>
      </c>
      <c r="E4" s="42" t="s">
        <v>146</v>
      </c>
      <c r="F4" s="42" t="s">
        <v>147</v>
      </c>
      <c r="G4" s="42" t="s">
        <v>148</v>
      </c>
      <c r="H4" s="42" t="s">
        <v>70</v>
      </c>
      <c r="I4" s="42" t="s">
        <v>149</v>
      </c>
      <c r="J4" s="42" t="s">
        <v>74</v>
      </c>
      <c r="K4" s="42" t="s">
        <v>75</v>
      </c>
      <c r="L4" s="42" t="s">
        <v>76</v>
      </c>
      <c r="M4" s="42" t="s">
        <v>150</v>
      </c>
      <c r="N4" s="42"/>
    </row>
    <row r="5" spans="1:14" ht="15" customHeight="1">
      <c r="A5" s="90"/>
      <c r="B5" s="91">
        <v>1</v>
      </c>
      <c r="C5" s="92" t="str">
        <f>IF(A5="","",IFERROR(VLOOKUP(A5,Catálogo!$A$5:$U$39,11,0),"¿no encontrado?"))</f>
        <v/>
      </c>
      <c r="D5" s="93" t="str">
        <f>IF(A5="","",IFERROR(VLOOKUP(A5,Catálogo!$A$5:$U$39,5,0),""))</f>
        <v/>
      </c>
      <c r="E5" s="94" t="str">
        <f>IF(A5="","",IFERROR(VLOOKUP(A5,Catálogo!$A$5:$U$39,9,0),""))</f>
        <v/>
      </c>
      <c r="F5" s="95" t="str">
        <f t="shared" ref="F5:F24" si="0">IF(OR(A5="",D5=""),"",B5*MAX(D5/1000,IF(E5="",0,E5/5000)))</f>
        <v/>
      </c>
      <c r="G5" s="96" t="str">
        <f>IF(OR(F5="",E5=""),"",ROUND(F5*Configuración!$B$10 + B5*E5/28316.85*Configuración!$B$15,2))</f>
        <v/>
      </c>
      <c r="H5" s="96" t="str">
        <f>IF(C5="","",ROUND(B5*(C5/Configuración!$B$4)*Configuración!$B$16,2))</f>
        <v/>
      </c>
      <c r="I5" s="80" t="str">
        <f>IF(C5="","",ROUND(B5*(C5/Configuración!$B$4)+IF(G5="",0,G5)+IF(H5="",0,H5),2))</f>
        <v/>
      </c>
      <c r="J5" s="97" t="str">
        <f>IF(A5="","",IFERROR(VLOOKUP(A5,Catálogo!$A$5:$U$39,19,0),0.4))</f>
        <v/>
      </c>
      <c r="K5" s="83" t="str">
        <f t="shared" ref="K5:K24" si="1">IF(I5="","",ROUND(I5/(1-J5),0))</f>
        <v/>
      </c>
      <c r="L5" s="96" t="str">
        <f t="shared" ref="L5:L24" si="2">IF(K5="","",ROUND(K5-I5,2))</f>
        <v/>
      </c>
      <c r="M5" s="90"/>
      <c r="N5" s="90"/>
    </row>
    <row r="6" spans="1:14" ht="15" customHeight="1">
      <c r="A6" s="90"/>
      <c r="B6" s="91">
        <v>1</v>
      </c>
      <c r="C6" s="92" t="str">
        <f>IF(A6="","",IFERROR(VLOOKUP(A6,Catálogo!$A$5:$U$39,11,0),"¿no encontrado?"))</f>
        <v/>
      </c>
      <c r="D6" s="93" t="str">
        <f>IF(A6="","",IFERROR(VLOOKUP(A6,Catálogo!$A$5:$U$39,5,0),""))</f>
        <v/>
      </c>
      <c r="E6" s="94" t="str">
        <f>IF(A6="","",IFERROR(VLOOKUP(A6,Catálogo!$A$5:$U$39,9,0),""))</f>
        <v/>
      </c>
      <c r="F6" s="95" t="str">
        <f t="shared" si="0"/>
        <v/>
      </c>
      <c r="G6" s="96" t="str">
        <f>IF(OR(F6="",E6=""),"",ROUND(F6*Configuración!$B$10 + B6*E6/28316.85*Configuración!$B$15,2))</f>
        <v/>
      </c>
      <c r="H6" s="96" t="str">
        <f>IF(C6="","",ROUND(B6*(C6/Configuración!$B$4)*Configuración!$B$16,2))</f>
        <v/>
      </c>
      <c r="I6" s="80" t="str">
        <f>IF(C6="","",ROUND(B6*(C6/Configuración!$B$4)+IF(G6="",0,G6)+IF(H6="",0,H6),2))</f>
        <v/>
      </c>
      <c r="J6" s="97" t="str">
        <f>IF(A6="","",IFERROR(VLOOKUP(A6,Catálogo!$A$5:$U$39,19,0),0.4))</f>
        <v/>
      </c>
      <c r="K6" s="83" t="str">
        <f t="shared" si="1"/>
        <v/>
      </c>
      <c r="L6" s="96" t="str">
        <f t="shared" si="2"/>
        <v/>
      </c>
      <c r="M6" s="90"/>
      <c r="N6" s="90"/>
    </row>
    <row r="7" spans="1:14" ht="15" customHeight="1">
      <c r="A7" s="90"/>
      <c r="B7" s="91">
        <v>1</v>
      </c>
      <c r="C7" s="92" t="str">
        <f>IF(A7="","",IFERROR(VLOOKUP(A7,Catálogo!$A$5:$U$39,11,0),"¿no encontrado?"))</f>
        <v/>
      </c>
      <c r="D7" s="93" t="str">
        <f>IF(A7="","",IFERROR(VLOOKUP(A7,Catálogo!$A$5:$U$39,5,0),""))</f>
        <v/>
      </c>
      <c r="E7" s="94" t="str">
        <f>IF(A7="","",IFERROR(VLOOKUP(A7,Catálogo!$A$5:$U$39,9,0),""))</f>
        <v/>
      </c>
      <c r="F7" s="95" t="str">
        <f t="shared" si="0"/>
        <v/>
      </c>
      <c r="G7" s="96" t="str">
        <f>IF(OR(F7="",E7=""),"",ROUND(F7*Configuración!$B$10 + B7*E7/28316.85*Configuración!$B$15,2))</f>
        <v/>
      </c>
      <c r="H7" s="96" t="str">
        <f>IF(C7="","",ROUND(B7*(C7/Configuración!$B$4)*Configuración!$B$16,2))</f>
        <v/>
      </c>
      <c r="I7" s="80" t="str">
        <f>IF(C7="","",ROUND(B7*(C7/Configuración!$B$4)+IF(G7="",0,G7)+IF(H7="",0,H7),2))</f>
        <v/>
      </c>
      <c r="J7" s="97" t="str">
        <f>IF(A7="","",IFERROR(VLOOKUP(A7,Catálogo!$A$5:$U$39,19,0),0.4))</f>
        <v/>
      </c>
      <c r="K7" s="83" t="str">
        <f t="shared" si="1"/>
        <v/>
      </c>
      <c r="L7" s="96" t="str">
        <f t="shared" si="2"/>
        <v/>
      </c>
      <c r="M7" s="90"/>
      <c r="N7" s="90"/>
    </row>
    <row r="8" spans="1:14" ht="15" customHeight="1">
      <c r="A8" s="90"/>
      <c r="B8" s="91">
        <v>1</v>
      </c>
      <c r="C8" s="92" t="str">
        <f>IF(A8="","",IFERROR(VLOOKUP(A8,Catálogo!$A$5:$U$39,11,0),"¿no encontrado?"))</f>
        <v/>
      </c>
      <c r="D8" s="93" t="str">
        <f>IF(A8="","",IFERROR(VLOOKUP(A8,Catálogo!$A$5:$U$39,5,0),""))</f>
        <v/>
      </c>
      <c r="E8" s="94" t="str">
        <f>IF(A8="","",IFERROR(VLOOKUP(A8,Catálogo!$A$5:$U$39,9,0),""))</f>
        <v/>
      </c>
      <c r="F8" s="95" t="str">
        <f t="shared" si="0"/>
        <v/>
      </c>
      <c r="G8" s="96" t="str">
        <f>IF(OR(F8="",E8=""),"",ROUND(F8*Configuración!$B$10 + B8*E8/28316.85*Configuración!$B$15,2))</f>
        <v/>
      </c>
      <c r="H8" s="96" t="str">
        <f>IF(C8="","",ROUND(B8*(C8/Configuración!$B$4)*Configuración!$B$16,2))</f>
        <v/>
      </c>
      <c r="I8" s="80" t="str">
        <f>IF(C8="","",ROUND(B8*(C8/Configuración!$B$4)+IF(G8="",0,G8)+IF(H8="",0,H8),2))</f>
        <v/>
      </c>
      <c r="J8" s="97" t="str">
        <f>IF(A8="","",IFERROR(VLOOKUP(A8,Catálogo!$A$5:$U$39,19,0),0.4))</f>
        <v/>
      </c>
      <c r="K8" s="83" t="str">
        <f t="shared" si="1"/>
        <v/>
      </c>
      <c r="L8" s="96" t="str">
        <f t="shared" si="2"/>
        <v/>
      </c>
      <c r="M8" s="90"/>
      <c r="N8" s="90"/>
    </row>
    <row r="9" spans="1:14" ht="15" customHeight="1">
      <c r="A9" s="90"/>
      <c r="B9" s="91">
        <v>1</v>
      </c>
      <c r="C9" s="92" t="str">
        <f>IF(A9="","",IFERROR(VLOOKUP(A9,Catálogo!$A$5:$U$39,11,0),"¿no encontrado?"))</f>
        <v/>
      </c>
      <c r="D9" s="93" t="str">
        <f>IF(A9="","",IFERROR(VLOOKUP(A9,Catálogo!$A$5:$U$39,5,0),""))</f>
        <v/>
      </c>
      <c r="E9" s="94" t="str">
        <f>IF(A9="","",IFERROR(VLOOKUP(A9,Catálogo!$A$5:$U$39,9,0),""))</f>
        <v/>
      </c>
      <c r="F9" s="95" t="str">
        <f t="shared" si="0"/>
        <v/>
      </c>
      <c r="G9" s="96" t="str">
        <f>IF(OR(F9="",E9=""),"",ROUND(F9*Configuración!$B$10 + B9*E9/28316.85*Configuración!$B$15,2))</f>
        <v/>
      </c>
      <c r="H9" s="96" t="str">
        <f>IF(C9="","",ROUND(B9*(C9/Configuración!$B$4)*Configuración!$B$16,2))</f>
        <v/>
      </c>
      <c r="I9" s="80" t="str">
        <f>IF(C9="","",ROUND(B9*(C9/Configuración!$B$4)+IF(G9="",0,G9)+IF(H9="",0,H9),2))</f>
        <v/>
      </c>
      <c r="J9" s="97" t="str">
        <f>IF(A9="","",IFERROR(VLOOKUP(A9,Catálogo!$A$5:$U$39,19,0),0.4))</f>
        <v/>
      </c>
      <c r="K9" s="83" t="str">
        <f t="shared" si="1"/>
        <v/>
      </c>
      <c r="L9" s="96" t="str">
        <f t="shared" si="2"/>
        <v/>
      </c>
      <c r="M9" s="90"/>
      <c r="N9" s="90"/>
    </row>
    <row r="10" spans="1:14" ht="15" customHeight="1">
      <c r="A10" s="90"/>
      <c r="B10" s="91">
        <v>1</v>
      </c>
      <c r="C10" s="92" t="str">
        <f>IF(A10="","",IFERROR(VLOOKUP(A10,Catálogo!$A$5:$U$39,11,0),"¿no encontrado?"))</f>
        <v/>
      </c>
      <c r="D10" s="93" t="str">
        <f>IF(A10="","",IFERROR(VLOOKUP(A10,Catálogo!$A$5:$U$39,5,0),""))</f>
        <v/>
      </c>
      <c r="E10" s="94" t="str">
        <f>IF(A10="","",IFERROR(VLOOKUP(A10,Catálogo!$A$5:$U$39,9,0),""))</f>
        <v/>
      </c>
      <c r="F10" s="95" t="str">
        <f t="shared" si="0"/>
        <v/>
      </c>
      <c r="G10" s="96" t="str">
        <f>IF(OR(F10="",E10=""),"",ROUND(F10*Configuración!$B$10 + B10*E10/28316.85*Configuración!$B$15,2))</f>
        <v/>
      </c>
      <c r="H10" s="96" t="str">
        <f>IF(C10="","",ROUND(B10*(C10/Configuración!$B$4)*Configuración!$B$16,2))</f>
        <v/>
      </c>
      <c r="I10" s="80" t="str">
        <f>IF(C10="","",ROUND(B10*(C10/Configuración!$B$4)+IF(G10="",0,G10)+IF(H10="",0,H10),2))</f>
        <v/>
      </c>
      <c r="J10" s="97" t="str">
        <f>IF(A10="","",IFERROR(VLOOKUP(A10,Catálogo!$A$5:$U$39,19,0),0.4))</f>
        <v/>
      </c>
      <c r="K10" s="83" t="str">
        <f t="shared" si="1"/>
        <v/>
      </c>
      <c r="L10" s="96" t="str">
        <f t="shared" si="2"/>
        <v/>
      </c>
      <c r="M10" s="90"/>
      <c r="N10" s="90"/>
    </row>
    <row r="11" spans="1:14" ht="15" customHeight="1">
      <c r="A11" s="90"/>
      <c r="B11" s="91">
        <v>1</v>
      </c>
      <c r="C11" s="92" t="str">
        <f>IF(A11="","",IFERROR(VLOOKUP(A11,Catálogo!$A$5:$U$39,11,0),"¿no encontrado?"))</f>
        <v/>
      </c>
      <c r="D11" s="93" t="str">
        <f>IF(A11="","",IFERROR(VLOOKUP(A11,Catálogo!$A$5:$U$39,5,0),""))</f>
        <v/>
      </c>
      <c r="E11" s="94" t="str">
        <f>IF(A11="","",IFERROR(VLOOKUP(A11,Catálogo!$A$5:$U$39,9,0),""))</f>
        <v/>
      </c>
      <c r="F11" s="95" t="str">
        <f t="shared" si="0"/>
        <v/>
      </c>
      <c r="G11" s="96" t="str">
        <f>IF(OR(F11="",E11=""),"",ROUND(F11*Configuración!$B$10 + B11*E11/28316.85*Configuración!$B$15,2))</f>
        <v/>
      </c>
      <c r="H11" s="96" t="str">
        <f>IF(C11="","",ROUND(B11*(C11/Configuración!$B$4)*Configuración!$B$16,2))</f>
        <v/>
      </c>
      <c r="I11" s="80" t="str">
        <f>IF(C11="","",ROUND(B11*(C11/Configuración!$B$4)+IF(G11="",0,G11)+IF(H11="",0,H11),2))</f>
        <v/>
      </c>
      <c r="J11" s="97" t="str">
        <f>IF(A11="","",IFERROR(VLOOKUP(A11,Catálogo!$A$5:$U$39,19,0),0.4))</f>
        <v/>
      </c>
      <c r="K11" s="83" t="str">
        <f t="shared" si="1"/>
        <v/>
      </c>
      <c r="L11" s="96" t="str">
        <f t="shared" si="2"/>
        <v/>
      </c>
      <c r="M11" s="90"/>
      <c r="N11" s="90"/>
    </row>
    <row r="12" spans="1:14" ht="15" customHeight="1">
      <c r="A12" s="90"/>
      <c r="B12" s="91">
        <v>1</v>
      </c>
      <c r="C12" s="92" t="str">
        <f>IF(A12="","",IFERROR(VLOOKUP(A12,Catálogo!$A$5:$U$39,11,0),"¿no encontrado?"))</f>
        <v/>
      </c>
      <c r="D12" s="93" t="str">
        <f>IF(A12="","",IFERROR(VLOOKUP(A12,Catálogo!$A$5:$U$39,5,0),""))</f>
        <v/>
      </c>
      <c r="E12" s="94" t="str">
        <f>IF(A12="","",IFERROR(VLOOKUP(A12,Catálogo!$A$5:$U$39,9,0),""))</f>
        <v/>
      </c>
      <c r="F12" s="95" t="str">
        <f t="shared" si="0"/>
        <v/>
      </c>
      <c r="G12" s="96" t="str">
        <f>IF(OR(F12="",E12=""),"",ROUND(F12*Configuración!$B$10 + B12*E12/28316.85*Configuración!$B$15,2))</f>
        <v/>
      </c>
      <c r="H12" s="96" t="str">
        <f>IF(C12="","",ROUND(B12*(C12/Configuración!$B$4)*Configuración!$B$16,2))</f>
        <v/>
      </c>
      <c r="I12" s="80" t="str">
        <f>IF(C12="","",ROUND(B12*(C12/Configuración!$B$4)+IF(G12="",0,G12)+IF(H12="",0,H12),2))</f>
        <v/>
      </c>
      <c r="J12" s="97" t="str">
        <f>IF(A12="","",IFERROR(VLOOKUP(A12,Catálogo!$A$5:$U$39,19,0),0.4))</f>
        <v/>
      </c>
      <c r="K12" s="83" t="str">
        <f t="shared" si="1"/>
        <v/>
      </c>
      <c r="L12" s="96" t="str">
        <f t="shared" si="2"/>
        <v/>
      </c>
      <c r="M12" s="90"/>
      <c r="N12" s="90"/>
    </row>
    <row r="13" spans="1:14" ht="15" customHeight="1">
      <c r="A13" s="90"/>
      <c r="B13" s="91">
        <v>1</v>
      </c>
      <c r="C13" s="92" t="str">
        <f>IF(A13="","",IFERROR(VLOOKUP(A13,Catálogo!$A$5:$U$39,11,0),"¿no encontrado?"))</f>
        <v/>
      </c>
      <c r="D13" s="93" t="str">
        <f>IF(A13="","",IFERROR(VLOOKUP(A13,Catálogo!$A$5:$U$39,5,0),""))</f>
        <v/>
      </c>
      <c r="E13" s="94" t="str">
        <f>IF(A13="","",IFERROR(VLOOKUP(A13,Catálogo!$A$5:$U$39,9,0),""))</f>
        <v/>
      </c>
      <c r="F13" s="95" t="str">
        <f t="shared" si="0"/>
        <v/>
      </c>
      <c r="G13" s="96" t="str">
        <f>IF(OR(F13="",E13=""),"",ROUND(F13*Configuración!$B$10 + B13*E13/28316.85*Configuración!$B$15,2))</f>
        <v/>
      </c>
      <c r="H13" s="96" t="str">
        <f>IF(C13="","",ROUND(B13*(C13/Configuración!$B$4)*Configuración!$B$16,2))</f>
        <v/>
      </c>
      <c r="I13" s="80" t="str">
        <f>IF(C13="","",ROUND(B13*(C13/Configuración!$B$4)+IF(G13="",0,G13)+IF(H13="",0,H13),2))</f>
        <v/>
      </c>
      <c r="J13" s="97" t="str">
        <f>IF(A13="","",IFERROR(VLOOKUP(A13,Catálogo!$A$5:$U$39,19,0),0.4))</f>
        <v/>
      </c>
      <c r="K13" s="83" t="str">
        <f t="shared" si="1"/>
        <v/>
      </c>
      <c r="L13" s="96" t="str">
        <f t="shared" si="2"/>
        <v/>
      </c>
      <c r="M13" s="90"/>
      <c r="N13" s="90"/>
    </row>
    <row r="14" spans="1:14" ht="15" customHeight="1">
      <c r="A14" s="90"/>
      <c r="B14" s="91">
        <v>1</v>
      </c>
      <c r="C14" s="92" t="str">
        <f>IF(A14="","",IFERROR(VLOOKUP(A14,Catálogo!$A$5:$U$39,11,0),"¿no encontrado?"))</f>
        <v/>
      </c>
      <c r="D14" s="93" t="str">
        <f>IF(A14="","",IFERROR(VLOOKUP(A14,Catálogo!$A$5:$U$39,5,0),""))</f>
        <v/>
      </c>
      <c r="E14" s="94" t="str">
        <f>IF(A14="","",IFERROR(VLOOKUP(A14,Catálogo!$A$5:$U$39,9,0),""))</f>
        <v/>
      </c>
      <c r="F14" s="95" t="str">
        <f t="shared" si="0"/>
        <v/>
      </c>
      <c r="G14" s="96" t="str">
        <f>IF(OR(F14="",E14=""),"",ROUND(F14*Configuración!$B$10 + B14*E14/28316.85*Configuración!$B$15,2))</f>
        <v/>
      </c>
      <c r="H14" s="96" t="str">
        <f>IF(C14="","",ROUND(B14*(C14/Configuración!$B$4)*Configuración!$B$16,2))</f>
        <v/>
      </c>
      <c r="I14" s="80" t="str">
        <f>IF(C14="","",ROUND(B14*(C14/Configuración!$B$4)+IF(G14="",0,G14)+IF(H14="",0,H14),2))</f>
        <v/>
      </c>
      <c r="J14" s="97" t="str">
        <f>IF(A14="","",IFERROR(VLOOKUP(A14,Catálogo!$A$5:$U$39,19,0),0.4))</f>
        <v/>
      </c>
      <c r="K14" s="83" t="str">
        <f t="shared" si="1"/>
        <v/>
      </c>
      <c r="L14" s="96" t="str">
        <f t="shared" si="2"/>
        <v/>
      </c>
      <c r="M14" s="90"/>
      <c r="N14" s="90"/>
    </row>
    <row r="15" spans="1:14" ht="15" customHeight="1">
      <c r="A15" s="90"/>
      <c r="B15" s="91">
        <v>1</v>
      </c>
      <c r="C15" s="92" t="str">
        <f>IF(A15="","",IFERROR(VLOOKUP(A15,Catálogo!$A$5:$U$39,11,0),"¿no encontrado?"))</f>
        <v/>
      </c>
      <c r="D15" s="93" t="str">
        <f>IF(A15="","",IFERROR(VLOOKUP(A15,Catálogo!$A$5:$U$39,5,0),""))</f>
        <v/>
      </c>
      <c r="E15" s="94" t="str">
        <f>IF(A15="","",IFERROR(VLOOKUP(A15,Catálogo!$A$5:$U$39,9,0),""))</f>
        <v/>
      </c>
      <c r="F15" s="95" t="str">
        <f t="shared" si="0"/>
        <v/>
      </c>
      <c r="G15" s="96" t="str">
        <f>IF(OR(F15="",E15=""),"",ROUND(F15*Configuración!$B$10 + B15*E15/28316.85*Configuración!$B$15,2))</f>
        <v/>
      </c>
      <c r="H15" s="96" t="str">
        <f>IF(C15="","",ROUND(B15*(C15/Configuración!$B$4)*Configuración!$B$16,2))</f>
        <v/>
      </c>
      <c r="I15" s="80" t="str">
        <f>IF(C15="","",ROUND(B15*(C15/Configuración!$B$4)+IF(G15="",0,G15)+IF(H15="",0,H15),2))</f>
        <v/>
      </c>
      <c r="J15" s="97" t="str">
        <f>IF(A15="","",IFERROR(VLOOKUP(A15,Catálogo!$A$5:$U$39,19,0),0.4))</f>
        <v/>
      </c>
      <c r="K15" s="83" t="str">
        <f t="shared" si="1"/>
        <v/>
      </c>
      <c r="L15" s="96" t="str">
        <f t="shared" si="2"/>
        <v/>
      </c>
      <c r="M15" s="90"/>
      <c r="N15" s="90"/>
    </row>
    <row r="16" spans="1:14" ht="15" customHeight="1">
      <c r="A16" s="90"/>
      <c r="B16" s="91">
        <v>1</v>
      </c>
      <c r="C16" s="92" t="str">
        <f>IF(A16="","",IFERROR(VLOOKUP(A16,Catálogo!$A$5:$U$39,11,0),"¿no encontrado?"))</f>
        <v/>
      </c>
      <c r="D16" s="93" t="str">
        <f>IF(A16="","",IFERROR(VLOOKUP(A16,Catálogo!$A$5:$U$39,5,0),""))</f>
        <v/>
      </c>
      <c r="E16" s="94" t="str">
        <f>IF(A16="","",IFERROR(VLOOKUP(A16,Catálogo!$A$5:$U$39,9,0),""))</f>
        <v/>
      </c>
      <c r="F16" s="95" t="str">
        <f t="shared" si="0"/>
        <v/>
      </c>
      <c r="G16" s="96" t="str">
        <f>IF(OR(F16="",E16=""),"",ROUND(F16*Configuración!$B$10 + B16*E16/28316.85*Configuración!$B$15,2))</f>
        <v/>
      </c>
      <c r="H16" s="96" t="str">
        <f>IF(C16="","",ROUND(B16*(C16/Configuración!$B$4)*Configuración!$B$16,2))</f>
        <v/>
      </c>
      <c r="I16" s="80" t="str">
        <f>IF(C16="","",ROUND(B16*(C16/Configuración!$B$4)+IF(G16="",0,G16)+IF(H16="",0,H16),2))</f>
        <v/>
      </c>
      <c r="J16" s="97" t="str">
        <f>IF(A16="","",IFERROR(VLOOKUP(A16,Catálogo!$A$5:$U$39,19,0),0.4))</f>
        <v/>
      </c>
      <c r="K16" s="83" t="str">
        <f t="shared" si="1"/>
        <v/>
      </c>
      <c r="L16" s="96" t="str">
        <f t="shared" si="2"/>
        <v/>
      </c>
      <c r="M16" s="90"/>
      <c r="N16" s="90"/>
    </row>
    <row r="17" spans="1:14" ht="15" customHeight="1">
      <c r="A17" s="90"/>
      <c r="B17" s="91">
        <v>1</v>
      </c>
      <c r="C17" s="92" t="str">
        <f>IF(A17="","",IFERROR(VLOOKUP(A17,Catálogo!$A$5:$U$39,11,0),"¿no encontrado?"))</f>
        <v/>
      </c>
      <c r="D17" s="93" t="str">
        <f>IF(A17="","",IFERROR(VLOOKUP(A17,Catálogo!$A$5:$U$39,5,0),""))</f>
        <v/>
      </c>
      <c r="E17" s="94" t="str">
        <f>IF(A17="","",IFERROR(VLOOKUP(A17,Catálogo!$A$5:$U$39,9,0),""))</f>
        <v/>
      </c>
      <c r="F17" s="95" t="str">
        <f t="shared" si="0"/>
        <v/>
      </c>
      <c r="G17" s="96" t="str">
        <f>IF(OR(F17="",E17=""),"",ROUND(F17*Configuración!$B$10 + B17*E17/28316.85*Configuración!$B$15,2))</f>
        <v/>
      </c>
      <c r="H17" s="96" t="str">
        <f>IF(C17="","",ROUND(B17*(C17/Configuración!$B$4)*Configuración!$B$16,2))</f>
        <v/>
      </c>
      <c r="I17" s="80" t="str">
        <f>IF(C17="","",ROUND(B17*(C17/Configuración!$B$4)+IF(G17="",0,G17)+IF(H17="",0,H17),2))</f>
        <v/>
      </c>
      <c r="J17" s="97" t="str">
        <f>IF(A17="","",IFERROR(VLOOKUP(A17,Catálogo!$A$5:$U$39,19,0),0.4))</f>
        <v/>
      </c>
      <c r="K17" s="83" t="str">
        <f t="shared" si="1"/>
        <v/>
      </c>
      <c r="L17" s="96" t="str">
        <f t="shared" si="2"/>
        <v/>
      </c>
      <c r="M17" s="90"/>
      <c r="N17" s="90"/>
    </row>
    <row r="18" spans="1:14" ht="15" customHeight="1">
      <c r="A18" s="90"/>
      <c r="B18" s="91">
        <v>1</v>
      </c>
      <c r="C18" s="92" t="str">
        <f>IF(A18="","",IFERROR(VLOOKUP(A18,Catálogo!$A$5:$U$39,11,0),"¿no encontrado?"))</f>
        <v/>
      </c>
      <c r="D18" s="93" t="str">
        <f>IF(A18="","",IFERROR(VLOOKUP(A18,Catálogo!$A$5:$U$39,5,0),""))</f>
        <v/>
      </c>
      <c r="E18" s="94" t="str">
        <f>IF(A18="","",IFERROR(VLOOKUP(A18,Catálogo!$A$5:$U$39,9,0),""))</f>
        <v/>
      </c>
      <c r="F18" s="95" t="str">
        <f t="shared" si="0"/>
        <v/>
      </c>
      <c r="G18" s="96" t="str">
        <f>IF(OR(F18="",E18=""),"",ROUND(F18*Configuración!$B$10 + B18*E18/28316.85*Configuración!$B$15,2))</f>
        <v/>
      </c>
      <c r="H18" s="96" t="str">
        <f>IF(C18="","",ROUND(B18*(C18/Configuración!$B$4)*Configuración!$B$16,2))</f>
        <v/>
      </c>
      <c r="I18" s="80" t="str">
        <f>IF(C18="","",ROUND(B18*(C18/Configuración!$B$4)+IF(G18="",0,G18)+IF(H18="",0,H18),2))</f>
        <v/>
      </c>
      <c r="J18" s="97" t="str">
        <f>IF(A18="","",IFERROR(VLOOKUP(A18,Catálogo!$A$5:$U$39,19,0),0.4))</f>
        <v/>
      </c>
      <c r="K18" s="83" t="str">
        <f t="shared" si="1"/>
        <v/>
      </c>
      <c r="L18" s="96" t="str">
        <f t="shared" si="2"/>
        <v/>
      </c>
      <c r="M18" s="90"/>
      <c r="N18" s="90"/>
    </row>
    <row r="19" spans="1:14" ht="15" customHeight="1">
      <c r="A19" s="90"/>
      <c r="B19" s="91">
        <v>1</v>
      </c>
      <c r="C19" s="92" t="str">
        <f>IF(A19="","",IFERROR(VLOOKUP(A19,Catálogo!$A$5:$U$39,11,0),"¿no encontrado?"))</f>
        <v/>
      </c>
      <c r="D19" s="93" t="str">
        <f>IF(A19="","",IFERROR(VLOOKUP(A19,Catálogo!$A$5:$U$39,5,0),""))</f>
        <v/>
      </c>
      <c r="E19" s="94" t="str">
        <f>IF(A19="","",IFERROR(VLOOKUP(A19,Catálogo!$A$5:$U$39,9,0),""))</f>
        <v/>
      </c>
      <c r="F19" s="95" t="str">
        <f t="shared" si="0"/>
        <v/>
      </c>
      <c r="G19" s="96" t="str">
        <f>IF(OR(F19="",E19=""),"",ROUND(F19*Configuración!$B$10 + B19*E19/28316.85*Configuración!$B$15,2))</f>
        <v/>
      </c>
      <c r="H19" s="96" t="str">
        <f>IF(C19="","",ROUND(B19*(C19/Configuración!$B$4)*Configuración!$B$16,2))</f>
        <v/>
      </c>
      <c r="I19" s="80" t="str">
        <f>IF(C19="","",ROUND(B19*(C19/Configuración!$B$4)+IF(G19="",0,G19)+IF(H19="",0,H19),2))</f>
        <v/>
      </c>
      <c r="J19" s="97" t="str">
        <f>IF(A19="","",IFERROR(VLOOKUP(A19,Catálogo!$A$5:$U$39,19,0),0.4))</f>
        <v/>
      </c>
      <c r="K19" s="83" t="str">
        <f t="shared" si="1"/>
        <v/>
      </c>
      <c r="L19" s="96" t="str">
        <f t="shared" si="2"/>
        <v/>
      </c>
      <c r="M19" s="90"/>
      <c r="N19" s="90"/>
    </row>
    <row r="20" spans="1:14" ht="15" customHeight="1">
      <c r="A20" s="90"/>
      <c r="B20" s="91">
        <v>1</v>
      </c>
      <c r="C20" s="92" t="str">
        <f>IF(A20="","",IFERROR(VLOOKUP(A20,Catálogo!$A$5:$U$39,11,0),"¿no encontrado?"))</f>
        <v/>
      </c>
      <c r="D20" s="93" t="str">
        <f>IF(A20="","",IFERROR(VLOOKUP(A20,Catálogo!$A$5:$U$39,5,0),""))</f>
        <v/>
      </c>
      <c r="E20" s="94" t="str">
        <f>IF(A20="","",IFERROR(VLOOKUP(A20,Catálogo!$A$5:$U$39,9,0),""))</f>
        <v/>
      </c>
      <c r="F20" s="95" t="str">
        <f t="shared" si="0"/>
        <v/>
      </c>
      <c r="G20" s="96" t="str">
        <f>IF(OR(F20="",E20=""),"",ROUND(F20*Configuración!$B$10 + B20*E20/28316.85*Configuración!$B$15,2))</f>
        <v/>
      </c>
      <c r="H20" s="96" t="str">
        <f>IF(C20="","",ROUND(B20*(C20/Configuración!$B$4)*Configuración!$B$16,2))</f>
        <v/>
      </c>
      <c r="I20" s="80" t="str">
        <f>IF(C20="","",ROUND(B20*(C20/Configuración!$B$4)+IF(G20="",0,G20)+IF(H20="",0,H20),2))</f>
        <v/>
      </c>
      <c r="J20" s="97" t="str">
        <f>IF(A20="","",IFERROR(VLOOKUP(A20,Catálogo!$A$5:$U$39,19,0),0.4))</f>
        <v/>
      </c>
      <c r="K20" s="83" t="str">
        <f t="shared" si="1"/>
        <v/>
      </c>
      <c r="L20" s="96" t="str">
        <f t="shared" si="2"/>
        <v/>
      </c>
      <c r="M20" s="90"/>
      <c r="N20" s="90"/>
    </row>
    <row r="21" spans="1:14" ht="15" customHeight="1">
      <c r="A21" s="90"/>
      <c r="B21" s="91">
        <v>1</v>
      </c>
      <c r="C21" s="92" t="str">
        <f>IF(A21="","",IFERROR(VLOOKUP(A21,Catálogo!$A$5:$U$39,11,0),"¿no encontrado?"))</f>
        <v/>
      </c>
      <c r="D21" s="93" t="str">
        <f>IF(A21="","",IFERROR(VLOOKUP(A21,Catálogo!$A$5:$U$39,5,0),""))</f>
        <v/>
      </c>
      <c r="E21" s="94" t="str">
        <f>IF(A21="","",IFERROR(VLOOKUP(A21,Catálogo!$A$5:$U$39,9,0),""))</f>
        <v/>
      </c>
      <c r="F21" s="95" t="str">
        <f t="shared" si="0"/>
        <v/>
      </c>
      <c r="G21" s="96" t="str">
        <f>IF(OR(F21="",E21=""),"",ROUND(F21*Configuración!$B$10 + B21*E21/28316.85*Configuración!$B$15,2))</f>
        <v/>
      </c>
      <c r="H21" s="96" t="str">
        <f>IF(C21="","",ROUND(B21*(C21/Configuración!$B$4)*Configuración!$B$16,2))</f>
        <v/>
      </c>
      <c r="I21" s="80" t="str">
        <f>IF(C21="","",ROUND(B21*(C21/Configuración!$B$4)+IF(G21="",0,G21)+IF(H21="",0,H21),2))</f>
        <v/>
      </c>
      <c r="J21" s="97" t="str">
        <f>IF(A21="","",IFERROR(VLOOKUP(A21,Catálogo!$A$5:$U$39,19,0),0.4))</f>
        <v/>
      </c>
      <c r="K21" s="83" t="str">
        <f t="shared" si="1"/>
        <v/>
      </c>
      <c r="L21" s="96" t="str">
        <f t="shared" si="2"/>
        <v/>
      </c>
      <c r="M21" s="90"/>
      <c r="N21" s="90"/>
    </row>
    <row r="22" spans="1:14" ht="15" customHeight="1">
      <c r="A22" s="90"/>
      <c r="B22" s="91">
        <v>1</v>
      </c>
      <c r="C22" s="92" t="str">
        <f>IF(A22="","",IFERROR(VLOOKUP(A22,Catálogo!$A$5:$U$39,11,0),"¿no encontrado?"))</f>
        <v/>
      </c>
      <c r="D22" s="93" t="str">
        <f>IF(A22="","",IFERROR(VLOOKUP(A22,Catálogo!$A$5:$U$39,5,0),""))</f>
        <v/>
      </c>
      <c r="E22" s="94" t="str">
        <f>IF(A22="","",IFERROR(VLOOKUP(A22,Catálogo!$A$5:$U$39,9,0),""))</f>
        <v/>
      </c>
      <c r="F22" s="95" t="str">
        <f t="shared" si="0"/>
        <v/>
      </c>
      <c r="G22" s="96" t="str">
        <f>IF(OR(F22="",E22=""),"",ROUND(F22*Configuración!$B$10 + B22*E22/28316.85*Configuración!$B$15,2))</f>
        <v/>
      </c>
      <c r="H22" s="96" t="str">
        <f>IF(C22="","",ROUND(B22*(C22/Configuración!$B$4)*Configuración!$B$16,2))</f>
        <v/>
      </c>
      <c r="I22" s="80" t="str">
        <f>IF(C22="","",ROUND(B22*(C22/Configuración!$B$4)+IF(G22="",0,G22)+IF(H22="",0,H22),2))</f>
        <v/>
      </c>
      <c r="J22" s="97" t="str">
        <f>IF(A22="","",IFERROR(VLOOKUP(A22,Catálogo!$A$5:$U$39,19,0),0.4))</f>
        <v/>
      </c>
      <c r="K22" s="83" t="str">
        <f t="shared" si="1"/>
        <v/>
      </c>
      <c r="L22" s="96" t="str">
        <f t="shared" si="2"/>
        <v/>
      </c>
      <c r="M22" s="90"/>
      <c r="N22" s="90"/>
    </row>
    <row r="23" spans="1:14" ht="15" customHeight="1">
      <c r="A23" s="90"/>
      <c r="B23" s="91">
        <v>1</v>
      </c>
      <c r="C23" s="92" t="str">
        <f>IF(A23="","",IFERROR(VLOOKUP(A23,Catálogo!$A$5:$U$39,11,0),"¿no encontrado?"))</f>
        <v/>
      </c>
      <c r="D23" s="93" t="str">
        <f>IF(A23="","",IFERROR(VLOOKUP(A23,Catálogo!$A$5:$U$39,5,0),""))</f>
        <v/>
      </c>
      <c r="E23" s="94" t="str">
        <f>IF(A23="","",IFERROR(VLOOKUP(A23,Catálogo!$A$5:$U$39,9,0),""))</f>
        <v/>
      </c>
      <c r="F23" s="95" t="str">
        <f t="shared" si="0"/>
        <v/>
      </c>
      <c r="G23" s="96" t="str">
        <f>IF(OR(F23="",E23=""),"",ROUND(F23*Configuración!$B$10 + B23*E23/28316.85*Configuración!$B$15,2))</f>
        <v/>
      </c>
      <c r="H23" s="96" t="str">
        <f>IF(C23="","",ROUND(B23*(C23/Configuración!$B$4)*Configuración!$B$16,2))</f>
        <v/>
      </c>
      <c r="I23" s="80" t="str">
        <f>IF(C23="","",ROUND(B23*(C23/Configuración!$B$4)+IF(G23="",0,G23)+IF(H23="",0,H23),2))</f>
        <v/>
      </c>
      <c r="J23" s="97" t="str">
        <f>IF(A23="","",IFERROR(VLOOKUP(A23,Catálogo!$A$5:$U$39,19,0),0.4))</f>
        <v/>
      </c>
      <c r="K23" s="83" t="str">
        <f t="shared" si="1"/>
        <v/>
      </c>
      <c r="L23" s="96" t="str">
        <f t="shared" si="2"/>
        <v/>
      </c>
      <c r="M23" s="90"/>
      <c r="N23" s="90"/>
    </row>
    <row r="24" spans="1:14" ht="15" customHeight="1">
      <c r="A24" s="90"/>
      <c r="B24" s="91">
        <v>1</v>
      </c>
      <c r="C24" s="92" t="str">
        <f>IF(A24="","",IFERROR(VLOOKUP(A24,Catálogo!$A$5:$U$39,11,0),"¿no encontrado?"))</f>
        <v/>
      </c>
      <c r="D24" s="93" t="str">
        <f>IF(A24="","",IFERROR(VLOOKUP(A24,Catálogo!$A$5:$U$39,5,0),""))</f>
        <v/>
      </c>
      <c r="E24" s="94" t="str">
        <f>IF(A24="","",IFERROR(VLOOKUP(A24,Catálogo!$A$5:$U$39,9,0),""))</f>
        <v/>
      </c>
      <c r="F24" s="95" t="str">
        <f t="shared" si="0"/>
        <v/>
      </c>
      <c r="G24" s="96" t="str">
        <f>IF(OR(F24="",E24=""),"",ROUND(F24*Configuración!$B$10 + B24*E24/28316.85*Configuración!$B$15,2))</f>
        <v/>
      </c>
      <c r="H24" s="96" t="str">
        <f>IF(C24="","",ROUND(B24*(C24/Configuración!$B$4)*Configuración!$B$16,2))</f>
        <v/>
      </c>
      <c r="I24" s="80" t="str">
        <f>IF(C24="","",ROUND(B24*(C24/Configuración!$B$4)+IF(G24="",0,G24)+IF(H24="",0,H24),2))</f>
        <v/>
      </c>
      <c r="J24" s="97" t="str">
        <f>IF(A24="","",IFERROR(VLOOKUP(A24,Catálogo!$A$5:$U$39,19,0),0.4))</f>
        <v/>
      </c>
      <c r="K24" s="83" t="str">
        <f t="shared" si="1"/>
        <v/>
      </c>
      <c r="L24" s="96" t="str">
        <f t="shared" si="2"/>
        <v/>
      </c>
      <c r="M24" s="90"/>
      <c r="N24" s="90"/>
    </row>
    <row r="25" spans="1:14" ht="15" customHeight="1">
      <c r="A25" s="6" t="s">
        <v>151</v>
      </c>
      <c r="B25" s="6"/>
      <c r="C25" s="98"/>
      <c r="D25" s="98"/>
      <c r="E25" s="98"/>
      <c r="F25" s="99">
        <f>IF(COUNTA(F5:F24)=0,"",SUM(F5:F24))</f>
        <v>0</v>
      </c>
      <c r="G25" s="99">
        <f>IF(COUNTA(G5:G24)=0,"",SUM(G5:G24))</f>
        <v>0</v>
      </c>
      <c r="H25" s="99">
        <f>IF(COUNTA(H5:H24)=0,"",SUM(H5:H24))</f>
        <v>0</v>
      </c>
      <c r="I25" s="99">
        <f>IF(COUNTA(I5:I24)=0,"",SUM(I5:I24))</f>
        <v>0</v>
      </c>
      <c r="J25" s="99"/>
      <c r="K25" s="99">
        <f>IF(COUNTA(K5:K24)=0,"",SUM(K5:K24))</f>
        <v>0</v>
      </c>
      <c r="L25" s="99">
        <f>IF(COUNTA(L5:L24)=0,"",SUM(L5:L24))</f>
        <v>0</v>
      </c>
      <c r="M25" s="99"/>
      <c r="N25" s="98"/>
    </row>
    <row r="26" spans="1:14" ht="15.75" customHeight="1"/>
    <row r="27" spans="1:14" ht="15" customHeight="1">
      <c r="A27" s="5" t="s">
        <v>152</v>
      </c>
      <c r="B27" s="5"/>
      <c r="C27" s="5"/>
      <c r="D27" s="5"/>
    </row>
    <row r="28" spans="1:14" ht="15" customHeight="1">
      <c r="A28" s="100" t="s">
        <v>153</v>
      </c>
      <c r="B28" s="101">
        <f>IF(I25="","",ROUND(SUM(F5:F24),2))</f>
        <v>0</v>
      </c>
      <c r="C28" s="102"/>
      <c r="D28" s="102"/>
    </row>
    <row r="29" spans="1:14" ht="15" customHeight="1">
      <c r="A29" s="100" t="s">
        <v>154</v>
      </c>
      <c r="B29" s="103">
        <f>IF(I25="","",ROUND(I25-IF(G25="",0,G25)-IF(H25="",0,H25),2))</f>
        <v>0</v>
      </c>
      <c r="C29" s="102"/>
      <c r="D29" s="102"/>
    </row>
    <row r="30" spans="1:14" ht="15" customHeight="1">
      <c r="A30" s="100" t="s">
        <v>155</v>
      </c>
      <c r="B30" s="103">
        <f>IF(L25="","",L25)</f>
        <v>0</v>
      </c>
      <c r="C30" s="102"/>
      <c r="D30" s="102"/>
    </row>
    <row r="31" spans="1:14" ht="15" customHeight="1">
      <c r="A31" s="100" t="s">
        <v>156</v>
      </c>
      <c r="B31" s="104" t="str">
        <f>IFERROR(AVERAGE(J5:J24),"—")</f>
        <v>—</v>
      </c>
      <c r="C31" s="102"/>
      <c r="D31" s="102"/>
    </row>
    <row r="32" spans="1:14" ht="15.75" customHeight="1">
      <c r="A32" s="100" t="s">
        <v>157</v>
      </c>
      <c r="B32" s="96">
        <f>IF(B29="","",B29)</f>
        <v>0</v>
      </c>
      <c r="C32" s="4" t="s">
        <v>158</v>
      </c>
      <c r="D32" s="4"/>
    </row>
    <row r="33" spans="1:4" ht="15.75" customHeight="1">
      <c r="A33" s="100" t="s">
        <v>159</v>
      </c>
      <c r="B33" s="96">
        <f>IF(B32="","",ROUND(B32*Configuración!$B$16,2))</f>
        <v>0</v>
      </c>
      <c r="C33" s="4" t="s">
        <v>160</v>
      </c>
      <c r="D33" s="4"/>
    </row>
    <row r="34" spans="1:4" ht="15.75" customHeight="1">
      <c r="A34" s="100" t="s">
        <v>30</v>
      </c>
      <c r="B34" s="96">
        <f>IF(B29="","",ROUND(Configuración!$B$17/Configuración!$B$4,2))</f>
        <v>5.26</v>
      </c>
      <c r="C34" s="4" t="s">
        <v>161</v>
      </c>
      <c r="D34" s="4"/>
    </row>
    <row r="35" spans="1:4" ht="15.75" customHeight="1">
      <c r="A35" s="105" t="s">
        <v>162</v>
      </c>
      <c r="B35" s="103">
        <f>IF(B29="","",ROUND(SUM(B33:B34),2))</f>
        <v>5.26</v>
      </c>
      <c r="C35" s="4" t="s">
        <v>163</v>
      </c>
      <c r="D35" s="4"/>
    </row>
    <row r="36" spans="1:4" ht="15.75" customHeight="1">
      <c r="A36" s="105" t="s">
        <v>164</v>
      </c>
      <c r="B36" s="103">
        <f>IF(B28="","",IFERROR(IF(Configuración!$B$8,INDEX('Tarifas Shoppre'!$E$4:$E$219,MATCH(MIN(22,MAX(0.5,ROUND(CEILING(B28,0.1),1))),'Tarifas Shoppre'!$A$4:$A$219,1)),INDEX('Tarifas Shoppre'!$D$4:$D$219,MATCH(MIN(22,MAX(0.5,ROUND(CEILING(B28,0.1),1))),'Tarifas Shoppre'!$A$4:$A$219,1))),0))</f>
        <v>20.72</v>
      </c>
      <c r="C36" s="3" t="s">
        <v>165</v>
      </c>
      <c r="D36" s="3"/>
    </row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3:D33"/>
    <mergeCell ref="C34:D34"/>
    <mergeCell ref="C35:D35"/>
    <mergeCell ref="C36:D36"/>
    <mergeCell ref="A1:H1"/>
    <mergeCell ref="A2:H2"/>
    <mergeCell ref="A25:B25"/>
    <mergeCell ref="A27:D27"/>
    <mergeCell ref="C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zoomScaleNormal="100"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4.4"/>
  <cols>
    <col min="1" max="1" width="26" customWidth="1"/>
    <col min="2" max="2" width="14" customWidth="1"/>
    <col min="3" max="3" width="13" customWidth="1"/>
    <col min="4" max="4" width="12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3" customWidth="1"/>
    <col min="11" max="11" width="10" customWidth="1"/>
    <col min="12" max="12" width="14" customWidth="1"/>
    <col min="13" max="13" width="18" customWidth="1"/>
    <col min="14" max="14" width="12" customWidth="1"/>
    <col min="15" max="26" width="8.77734375" customWidth="1"/>
  </cols>
  <sheetData>
    <row r="1" spans="1:14" ht="27.75" customHeight="1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</row>
    <row r="2" spans="1:14" ht="15" customHeight="1">
      <c r="A2" s="1" t="s">
        <v>167</v>
      </c>
      <c r="B2" s="1"/>
      <c r="C2" s="1"/>
      <c r="D2" s="1"/>
      <c r="E2" s="1"/>
      <c r="F2" s="1"/>
      <c r="G2" s="1"/>
      <c r="H2" s="1"/>
      <c r="I2" s="1"/>
      <c r="J2" s="1"/>
    </row>
    <row r="3" spans="1:14" ht="15" customHeight="1"/>
    <row r="4" spans="1:14" ht="36" customHeight="1">
      <c r="A4" s="42" t="s">
        <v>56</v>
      </c>
      <c r="B4" s="42" t="s">
        <v>66</v>
      </c>
      <c r="C4" s="42" t="s">
        <v>168</v>
      </c>
      <c r="D4" s="42" t="s">
        <v>60</v>
      </c>
      <c r="E4" s="42" t="s">
        <v>64</v>
      </c>
      <c r="F4" s="42" t="s">
        <v>147</v>
      </c>
      <c r="G4" s="42" t="s">
        <v>169</v>
      </c>
      <c r="H4" s="42" t="s">
        <v>170</v>
      </c>
      <c r="I4" s="42" t="s">
        <v>171</v>
      </c>
      <c r="J4" s="42" t="s">
        <v>149</v>
      </c>
      <c r="K4" s="42" t="s">
        <v>74</v>
      </c>
      <c r="L4" s="42" t="s">
        <v>75</v>
      </c>
      <c r="M4" s="42" t="s">
        <v>172</v>
      </c>
      <c r="N4" s="42" t="s">
        <v>76</v>
      </c>
    </row>
    <row r="5" spans="1:14" ht="15" customHeight="1">
      <c r="A5" s="90"/>
      <c r="B5" s="106"/>
      <c r="C5" s="96" t="str">
        <f>IF(B5="","",B5/Configuración!$B$4)</f>
        <v/>
      </c>
      <c r="D5" s="91"/>
      <c r="E5" s="107"/>
      <c r="F5" s="95" t="str">
        <f t="shared" ref="F5:F24" si="0">IF(D5="","",MAX(D5/1000,IF(E5="",0,E5/5000)))</f>
        <v/>
      </c>
      <c r="G5" s="108"/>
      <c r="H5" s="96" t="str">
        <f>IF(F5="","",ROUND(F5*Configuración!$B$10 + IF(E5="",0,E5/28316.85)*Configuración!$B$15,2))</f>
        <v/>
      </c>
      <c r="I5" s="96" t="str">
        <f>IF(G5="","",IF(G5&gt;Configuración!$B$21,G5*Configuración!$B$22,0))</f>
        <v/>
      </c>
      <c r="J5" s="103" t="str">
        <f t="shared" ref="J5:J24" si="1">IF(C5="","",C5+IF(H5="",0,H5)+IF(I5="",0,I5))</f>
        <v/>
      </c>
      <c r="K5" s="97">
        <v>0.4</v>
      </c>
      <c r="L5" s="109" t="str">
        <f t="shared" ref="L5:L24" si="2">IF(J5="","",J5/(1-K5))</f>
        <v/>
      </c>
      <c r="M5" s="110" t="str">
        <f>IF(L5="","",L5*Configuración!$B$5)</f>
        <v/>
      </c>
      <c r="N5" s="96" t="str">
        <f t="shared" ref="N5:N24" si="3">IF(L5="","",L5-J5)</f>
        <v/>
      </c>
    </row>
    <row r="6" spans="1:14" ht="15" customHeight="1">
      <c r="A6" s="90"/>
      <c r="B6" s="106"/>
      <c r="C6" s="96" t="str">
        <f>IF(B6="","",B6/Configuración!$B$4)</f>
        <v/>
      </c>
      <c r="D6" s="91"/>
      <c r="E6" s="107"/>
      <c r="F6" s="95" t="str">
        <f t="shared" si="0"/>
        <v/>
      </c>
      <c r="G6" s="108"/>
      <c r="H6" s="96" t="str">
        <f>IF(F6="","",ROUND(F6*Configuración!$B$10 + IF(E6="",0,E6/28316.85)*Configuración!$B$15,2))</f>
        <v/>
      </c>
      <c r="I6" s="96" t="str">
        <f>IF(G6="","",IF(G6&gt;Configuración!$B$21,G6*Configuración!$B$22,0))</f>
        <v/>
      </c>
      <c r="J6" s="103" t="str">
        <f t="shared" si="1"/>
        <v/>
      </c>
      <c r="K6" s="97">
        <v>0.4</v>
      </c>
      <c r="L6" s="109" t="str">
        <f t="shared" si="2"/>
        <v/>
      </c>
      <c r="M6" s="110" t="str">
        <f>IF(L6="","",L6*Configuración!$B$5)</f>
        <v/>
      </c>
      <c r="N6" s="96" t="str">
        <f t="shared" si="3"/>
        <v/>
      </c>
    </row>
    <row r="7" spans="1:14" ht="15" customHeight="1">
      <c r="A7" s="90"/>
      <c r="B7" s="106"/>
      <c r="C7" s="96" t="str">
        <f>IF(B7="","",B7/Configuración!$B$4)</f>
        <v/>
      </c>
      <c r="D7" s="91"/>
      <c r="E7" s="107"/>
      <c r="F7" s="95" t="str">
        <f t="shared" si="0"/>
        <v/>
      </c>
      <c r="G7" s="108"/>
      <c r="H7" s="96" t="str">
        <f>IF(F7="","",ROUND(F7*Configuración!$B$10 + IF(E7="",0,E7/28316.85)*Configuración!$B$15,2))</f>
        <v/>
      </c>
      <c r="I7" s="96" t="str">
        <f>IF(G7="","",IF(G7&gt;Configuración!$B$21,G7*Configuración!$B$22,0))</f>
        <v/>
      </c>
      <c r="J7" s="103" t="str">
        <f t="shared" si="1"/>
        <v/>
      </c>
      <c r="K7" s="97">
        <v>0.4</v>
      </c>
      <c r="L7" s="109" t="str">
        <f t="shared" si="2"/>
        <v/>
      </c>
      <c r="M7" s="110" t="str">
        <f>IF(L7="","",L7*Configuración!$B$5)</f>
        <v/>
      </c>
      <c r="N7" s="96" t="str">
        <f t="shared" si="3"/>
        <v/>
      </c>
    </row>
    <row r="8" spans="1:14" ht="15" customHeight="1">
      <c r="A8" s="90"/>
      <c r="B8" s="106"/>
      <c r="C8" s="96" t="str">
        <f>IF(B8="","",B8/Configuración!$B$4)</f>
        <v/>
      </c>
      <c r="D8" s="91"/>
      <c r="E8" s="107"/>
      <c r="F8" s="95" t="str">
        <f t="shared" si="0"/>
        <v/>
      </c>
      <c r="G8" s="108"/>
      <c r="H8" s="96" t="str">
        <f>IF(F8="","",ROUND(F8*Configuración!$B$10 + IF(E8="",0,E8/28316.85)*Configuración!$B$15,2))</f>
        <v/>
      </c>
      <c r="I8" s="96" t="str">
        <f>IF(G8="","",IF(G8&gt;Configuración!$B$21,G8*Configuración!$B$22,0))</f>
        <v/>
      </c>
      <c r="J8" s="103" t="str">
        <f t="shared" si="1"/>
        <v/>
      </c>
      <c r="K8" s="97">
        <v>0.4</v>
      </c>
      <c r="L8" s="109" t="str">
        <f t="shared" si="2"/>
        <v/>
      </c>
      <c r="M8" s="110" t="str">
        <f>IF(L8="","",L8*Configuración!$B$5)</f>
        <v/>
      </c>
      <c r="N8" s="96" t="str">
        <f t="shared" si="3"/>
        <v/>
      </c>
    </row>
    <row r="9" spans="1:14" ht="15" customHeight="1">
      <c r="A9" s="90"/>
      <c r="B9" s="106"/>
      <c r="C9" s="96" t="str">
        <f>IF(B9="","",B9/Configuración!$B$4)</f>
        <v/>
      </c>
      <c r="D9" s="91"/>
      <c r="E9" s="107"/>
      <c r="F9" s="95" t="str">
        <f t="shared" si="0"/>
        <v/>
      </c>
      <c r="G9" s="108"/>
      <c r="H9" s="96" t="str">
        <f>IF(F9="","",ROUND(F9*Configuración!$B$10 + IF(E9="",0,E9/28316.85)*Configuración!$B$15,2))</f>
        <v/>
      </c>
      <c r="I9" s="96" t="str">
        <f>IF(G9="","",IF(G9&gt;Configuración!$B$21,G9*Configuración!$B$22,0))</f>
        <v/>
      </c>
      <c r="J9" s="103" t="str">
        <f t="shared" si="1"/>
        <v/>
      </c>
      <c r="K9" s="97">
        <v>0.4</v>
      </c>
      <c r="L9" s="109" t="str">
        <f t="shared" si="2"/>
        <v/>
      </c>
      <c r="M9" s="110" t="str">
        <f>IF(L9="","",L9*Configuración!$B$5)</f>
        <v/>
      </c>
      <c r="N9" s="96" t="str">
        <f t="shared" si="3"/>
        <v/>
      </c>
    </row>
    <row r="10" spans="1:14" ht="15" customHeight="1">
      <c r="A10" s="90"/>
      <c r="B10" s="106"/>
      <c r="C10" s="96" t="str">
        <f>IF(B10="","",B10/Configuración!$B$4)</f>
        <v/>
      </c>
      <c r="D10" s="91"/>
      <c r="E10" s="107"/>
      <c r="F10" s="95" t="str">
        <f t="shared" si="0"/>
        <v/>
      </c>
      <c r="G10" s="108"/>
      <c r="H10" s="96" t="str">
        <f>IF(F10="","",ROUND(F10*Configuración!$B$10 + IF(E10="",0,E10/28316.85)*Configuración!$B$15,2))</f>
        <v/>
      </c>
      <c r="I10" s="96" t="str">
        <f>IF(G10="","",IF(G10&gt;Configuración!$B$21,G10*Configuración!$B$22,0))</f>
        <v/>
      </c>
      <c r="J10" s="103" t="str">
        <f t="shared" si="1"/>
        <v/>
      </c>
      <c r="K10" s="97">
        <v>0.4</v>
      </c>
      <c r="L10" s="109" t="str">
        <f t="shared" si="2"/>
        <v/>
      </c>
      <c r="M10" s="110" t="str">
        <f>IF(L10="","",L10*Configuración!$B$5)</f>
        <v/>
      </c>
      <c r="N10" s="96" t="str">
        <f t="shared" si="3"/>
        <v/>
      </c>
    </row>
    <row r="11" spans="1:14" ht="15" customHeight="1">
      <c r="A11" s="90"/>
      <c r="B11" s="106"/>
      <c r="C11" s="96" t="str">
        <f>IF(B11="","",B11/Configuración!$B$4)</f>
        <v/>
      </c>
      <c r="D11" s="91"/>
      <c r="E11" s="107"/>
      <c r="F11" s="95" t="str">
        <f t="shared" si="0"/>
        <v/>
      </c>
      <c r="G11" s="108"/>
      <c r="H11" s="96" t="str">
        <f>IF(F11="","",ROUND(F11*Configuración!$B$10 + IF(E11="",0,E11/28316.85)*Configuración!$B$15,2))</f>
        <v/>
      </c>
      <c r="I11" s="96" t="str">
        <f>IF(G11="","",IF(G11&gt;Configuración!$B$21,G11*Configuración!$B$22,0))</f>
        <v/>
      </c>
      <c r="J11" s="103" t="str">
        <f t="shared" si="1"/>
        <v/>
      </c>
      <c r="K11" s="97">
        <v>0.4</v>
      </c>
      <c r="L11" s="109" t="str">
        <f t="shared" si="2"/>
        <v/>
      </c>
      <c r="M11" s="110" t="str">
        <f>IF(L11="","",L11*Configuración!$B$5)</f>
        <v/>
      </c>
      <c r="N11" s="96" t="str">
        <f t="shared" si="3"/>
        <v/>
      </c>
    </row>
    <row r="12" spans="1:14" ht="15" customHeight="1">
      <c r="A12" s="90"/>
      <c r="B12" s="106"/>
      <c r="C12" s="96" t="str">
        <f>IF(B12="","",B12/Configuración!$B$4)</f>
        <v/>
      </c>
      <c r="D12" s="91"/>
      <c r="E12" s="107"/>
      <c r="F12" s="95" t="str">
        <f t="shared" si="0"/>
        <v/>
      </c>
      <c r="G12" s="108"/>
      <c r="H12" s="96" t="str">
        <f>IF(F12="","",ROUND(F12*Configuración!$B$10 + IF(E12="",0,E12/28316.85)*Configuración!$B$15,2))</f>
        <v/>
      </c>
      <c r="I12" s="96" t="str">
        <f>IF(G12="","",IF(G12&gt;Configuración!$B$21,G12*Configuración!$B$22,0))</f>
        <v/>
      </c>
      <c r="J12" s="103" t="str">
        <f t="shared" si="1"/>
        <v/>
      </c>
      <c r="K12" s="97">
        <v>0.4</v>
      </c>
      <c r="L12" s="109" t="str">
        <f t="shared" si="2"/>
        <v/>
      </c>
      <c r="M12" s="110" t="str">
        <f>IF(L12="","",L12*Configuración!$B$5)</f>
        <v/>
      </c>
      <c r="N12" s="96" t="str">
        <f t="shared" si="3"/>
        <v/>
      </c>
    </row>
    <row r="13" spans="1:14" ht="15" customHeight="1">
      <c r="A13" s="90"/>
      <c r="B13" s="106"/>
      <c r="C13" s="96" t="str">
        <f>IF(B13="","",B13/Configuración!$B$4)</f>
        <v/>
      </c>
      <c r="D13" s="91"/>
      <c r="E13" s="107"/>
      <c r="F13" s="95" t="str">
        <f t="shared" si="0"/>
        <v/>
      </c>
      <c r="G13" s="108"/>
      <c r="H13" s="96" t="str">
        <f>IF(F13="","",ROUND(F13*Configuración!$B$10 + IF(E13="",0,E13/28316.85)*Configuración!$B$15,2))</f>
        <v/>
      </c>
      <c r="I13" s="96" t="str">
        <f>IF(G13="","",IF(G13&gt;Configuración!$B$21,G13*Configuración!$B$22,0))</f>
        <v/>
      </c>
      <c r="J13" s="103" t="str">
        <f t="shared" si="1"/>
        <v/>
      </c>
      <c r="K13" s="97">
        <v>0.4</v>
      </c>
      <c r="L13" s="109" t="str">
        <f t="shared" si="2"/>
        <v/>
      </c>
      <c r="M13" s="110" t="str">
        <f>IF(L13="","",L13*Configuración!$B$5)</f>
        <v/>
      </c>
      <c r="N13" s="96" t="str">
        <f t="shared" si="3"/>
        <v/>
      </c>
    </row>
    <row r="14" spans="1:14" ht="15" customHeight="1">
      <c r="A14" s="90"/>
      <c r="B14" s="106"/>
      <c r="C14" s="96" t="str">
        <f>IF(B14="","",B14/Configuración!$B$4)</f>
        <v/>
      </c>
      <c r="D14" s="91"/>
      <c r="E14" s="107"/>
      <c r="F14" s="95" t="str">
        <f t="shared" si="0"/>
        <v/>
      </c>
      <c r="G14" s="108"/>
      <c r="H14" s="96" t="str">
        <f>IF(F14="","",ROUND(F14*Configuración!$B$10 + IF(E14="",0,E14/28316.85)*Configuración!$B$15,2))</f>
        <v/>
      </c>
      <c r="I14" s="96" t="str">
        <f>IF(G14="","",IF(G14&gt;Configuración!$B$21,G14*Configuración!$B$22,0))</f>
        <v/>
      </c>
      <c r="J14" s="103" t="str">
        <f t="shared" si="1"/>
        <v/>
      </c>
      <c r="K14" s="97">
        <v>0.4</v>
      </c>
      <c r="L14" s="109" t="str">
        <f t="shared" si="2"/>
        <v/>
      </c>
      <c r="M14" s="110" t="str">
        <f>IF(L14="","",L14*Configuración!$B$5)</f>
        <v/>
      </c>
      <c r="N14" s="96" t="str">
        <f t="shared" si="3"/>
        <v/>
      </c>
    </row>
    <row r="15" spans="1:14" ht="15" customHeight="1">
      <c r="A15" s="90"/>
      <c r="B15" s="106"/>
      <c r="C15" s="96" t="str">
        <f>IF(B15="","",B15/Configuración!$B$4)</f>
        <v/>
      </c>
      <c r="D15" s="91"/>
      <c r="E15" s="107"/>
      <c r="F15" s="95" t="str">
        <f t="shared" si="0"/>
        <v/>
      </c>
      <c r="G15" s="108"/>
      <c r="H15" s="96" t="str">
        <f>IF(F15="","",ROUND(F15*Configuración!$B$10 + IF(E15="",0,E15/28316.85)*Configuración!$B$15,2))</f>
        <v/>
      </c>
      <c r="I15" s="96" t="str">
        <f>IF(G15="","",IF(G15&gt;Configuración!$B$21,G15*Configuración!$B$22,0))</f>
        <v/>
      </c>
      <c r="J15" s="103" t="str">
        <f t="shared" si="1"/>
        <v/>
      </c>
      <c r="K15" s="97">
        <v>0.4</v>
      </c>
      <c r="L15" s="109" t="str">
        <f t="shared" si="2"/>
        <v/>
      </c>
      <c r="M15" s="110" t="str">
        <f>IF(L15="","",L15*Configuración!$B$5)</f>
        <v/>
      </c>
      <c r="N15" s="96" t="str">
        <f t="shared" si="3"/>
        <v/>
      </c>
    </row>
    <row r="16" spans="1:14" ht="15" customHeight="1">
      <c r="A16" s="90"/>
      <c r="B16" s="106"/>
      <c r="C16" s="96" t="str">
        <f>IF(B16="","",B16/Configuración!$B$4)</f>
        <v/>
      </c>
      <c r="D16" s="91"/>
      <c r="E16" s="107"/>
      <c r="F16" s="95" t="str">
        <f t="shared" si="0"/>
        <v/>
      </c>
      <c r="G16" s="108"/>
      <c r="H16" s="96" t="str">
        <f>IF(F16="","",ROUND(F16*Configuración!$B$10 + IF(E16="",0,E16/28316.85)*Configuración!$B$15,2))</f>
        <v/>
      </c>
      <c r="I16" s="96" t="str">
        <f>IF(G16="","",IF(G16&gt;Configuración!$B$21,G16*Configuración!$B$22,0))</f>
        <v/>
      </c>
      <c r="J16" s="103" t="str">
        <f t="shared" si="1"/>
        <v/>
      </c>
      <c r="K16" s="97">
        <v>0.4</v>
      </c>
      <c r="L16" s="109" t="str">
        <f t="shared" si="2"/>
        <v/>
      </c>
      <c r="M16" s="110" t="str">
        <f>IF(L16="","",L16*Configuración!$B$5)</f>
        <v/>
      </c>
      <c r="N16" s="96" t="str">
        <f t="shared" si="3"/>
        <v/>
      </c>
    </row>
    <row r="17" spans="1:14" ht="15" customHeight="1">
      <c r="A17" s="90"/>
      <c r="B17" s="106"/>
      <c r="C17" s="96" t="str">
        <f>IF(B17="","",B17/Configuración!$B$4)</f>
        <v/>
      </c>
      <c r="D17" s="91"/>
      <c r="E17" s="107"/>
      <c r="F17" s="95" t="str">
        <f t="shared" si="0"/>
        <v/>
      </c>
      <c r="G17" s="108"/>
      <c r="H17" s="96" t="str">
        <f>IF(F17="","",ROUND(F17*Configuración!$B$10 + IF(E17="",0,E17/28316.85)*Configuración!$B$15,2))</f>
        <v/>
      </c>
      <c r="I17" s="96" t="str">
        <f>IF(G17="","",IF(G17&gt;Configuración!$B$21,G17*Configuración!$B$22,0))</f>
        <v/>
      </c>
      <c r="J17" s="103" t="str">
        <f t="shared" si="1"/>
        <v/>
      </c>
      <c r="K17" s="97">
        <v>0.4</v>
      </c>
      <c r="L17" s="109" t="str">
        <f t="shared" si="2"/>
        <v/>
      </c>
      <c r="M17" s="110" t="str">
        <f>IF(L17="","",L17*Configuración!$B$5)</f>
        <v/>
      </c>
      <c r="N17" s="96" t="str">
        <f t="shared" si="3"/>
        <v/>
      </c>
    </row>
    <row r="18" spans="1:14" ht="15" customHeight="1">
      <c r="A18" s="90"/>
      <c r="B18" s="106"/>
      <c r="C18" s="96" t="str">
        <f>IF(B18="","",B18/Configuración!$B$4)</f>
        <v/>
      </c>
      <c r="D18" s="91"/>
      <c r="E18" s="107"/>
      <c r="F18" s="95" t="str">
        <f t="shared" si="0"/>
        <v/>
      </c>
      <c r="G18" s="108"/>
      <c r="H18" s="96" t="str">
        <f>IF(F18="","",ROUND(F18*Configuración!$B$10 + IF(E18="",0,E18/28316.85)*Configuración!$B$15,2))</f>
        <v/>
      </c>
      <c r="I18" s="96" t="str">
        <f>IF(G18="","",IF(G18&gt;Configuración!$B$21,G18*Configuración!$B$22,0))</f>
        <v/>
      </c>
      <c r="J18" s="103" t="str">
        <f t="shared" si="1"/>
        <v/>
      </c>
      <c r="K18" s="97">
        <v>0.4</v>
      </c>
      <c r="L18" s="109" t="str">
        <f t="shared" si="2"/>
        <v/>
      </c>
      <c r="M18" s="110" t="str">
        <f>IF(L18="","",L18*Configuración!$B$5)</f>
        <v/>
      </c>
      <c r="N18" s="96" t="str">
        <f t="shared" si="3"/>
        <v/>
      </c>
    </row>
    <row r="19" spans="1:14" ht="15" customHeight="1">
      <c r="A19" s="90"/>
      <c r="B19" s="106"/>
      <c r="C19" s="96" t="str">
        <f>IF(B19="","",B19/Configuración!$B$4)</f>
        <v/>
      </c>
      <c r="D19" s="91"/>
      <c r="E19" s="107"/>
      <c r="F19" s="95" t="str">
        <f t="shared" si="0"/>
        <v/>
      </c>
      <c r="G19" s="108"/>
      <c r="H19" s="96" t="str">
        <f>IF(F19="","",ROUND(F19*Configuración!$B$10 + IF(E19="",0,E19/28316.85)*Configuración!$B$15,2))</f>
        <v/>
      </c>
      <c r="I19" s="96" t="str">
        <f>IF(G19="","",IF(G19&gt;Configuración!$B$21,G19*Configuración!$B$22,0))</f>
        <v/>
      </c>
      <c r="J19" s="103" t="str">
        <f t="shared" si="1"/>
        <v/>
      </c>
      <c r="K19" s="97">
        <v>0.4</v>
      </c>
      <c r="L19" s="109" t="str">
        <f t="shared" si="2"/>
        <v/>
      </c>
      <c r="M19" s="110" t="str">
        <f>IF(L19="","",L19*Configuración!$B$5)</f>
        <v/>
      </c>
      <c r="N19" s="96" t="str">
        <f t="shared" si="3"/>
        <v/>
      </c>
    </row>
    <row r="20" spans="1:14" ht="15" customHeight="1">
      <c r="A20" s="90"/>
      <c r="B20" s="106"/>
      <c r="C20" s="96" t="str">
        <f>IF(B20="","",B20/Configuración!$B$4)</f>
        <v/>
      </c>
      <c r="D20" s="91"/>
      <c r="E20" s="107"/>
      <c r="F20" s="95" t="str">
        <f t="shared" si="0"/>
        <v/>
      </c>
      <c r="G20" s="108"/>
      <c r="H20" s="96" t="str">
        <f>IF(F20="","",ROUND(F20*Configuración!$B$10 + IF(E20="",0,E20/28316.85)*Configuración!$B$15,2))</f>
        <v/>
      </c>
      <c r="I20" s="96" t="str">
        <f>IF(G20="","",IF(G20&gt;Configuración!$B$21,G20*Configuración!$B$22,0))</f>
        <v/>
      </c>
      <c r="J20" s="103" t="str">
        <f t="shared" si="1"/>
        <v/>
      </c>
      <c r="K20" s="97">
        <v>0.4</v>
      </c>
      <c r="L20" s="109" t="str">
        <f t="shared" si="2"/>
        <v/>
      </c>
      <c r="M20" s="110" t="str">
        <f>IF(L20="","",L20*Configuración!$B$5)</f>
        <v/>
      </c>
      <c r="N20" s="96" t="str">
        <f t="shared" si="3"/>
        <v/>
      </c>
    </row>
    <row r="21" spans="1:14" ht="15" customHeight="1">
      <c r="A21" s="90"/>
      <c r="B21" s="106"/>
      <c r="C21" s="96" t="str">
        <f>IF(B21="","",B21/Configuración!$B$4)</f>
        <v/>
      </c>
      <c r="D21" s="91"/>
      <c r="E21" s="107"/>
      <c r="F21" s="95" t="str">
        <f t="shared" si="0"/>
        <v/>
      </c>
      <c r="G21" s="108"/>
      <c r="H21" s="96" t="str">
        <f>IF(F21="","",ROUND(F21*Configuración!$B$10 + IF(E21="",0,E21/28316.85)*Configuración!$B$15,2))</f>
        <v/>
      </c>
      <c r="I21" s="96" t="str">
        <f>IF(G21="","",IF(G21&gt;Configuración!$B$21,G21*Configuración!$B$22,0))</f>
        <v/>
      </c>
      <c r="J21" s="103" t="str">
        <f t="shared" si="1"/>
        <v/>
      </c>
      <c r="K21" s="97">
        <v>0.4</v>
      </c>
      <c r="L21" s="109" t="str">
        <f t="shared" si="2"/>
        <v/>
      </c>
      <c r="M21" s="110" t="str">
        <f>IF(L21="","",L21*Configuración!$B$5)</f>
        <v/>
      </c>
      <c r="N21" s="96" t="str">
        <f t="shared" si="3"/>
        <v/>
      </c>
    </row>
    <row r="22" spans="1:14" ht="15" customHeight="1">
      <c r="A22" s="90"/>
      <c r="B22" s="106"/>
      <c r="C22" s="96" t="str">
        <f>IF(B22="","",B22/Configuración!$B$4)</f>
        <v/>
      </c>
      <c r="D22" s="91"/>
      <c r="E22" s="107"/>
      <c r="F22" s="95" t="str">
        <f t="shared" si="0"/>
        <v/>
      </c>
      <c r="G22" s="108"/>
      <c r="H22" s="96" t="str">
        <f>IF(F22="","",ROUND(F22*Configuración!$B$10 + IF(E22="",0,E22/28316.85)*Configuración!$B$15,2))</f>
        <v/>
      </c>
      <c r="I22" s="96" t="str">
        <f>IF(G22="","",IF(G22&gt;Configuración!$B$21,G22*Configuración!$B$22,0))</f>
        <v/>
      </c>
      <c r="J22" s="103" t="str">
        <f t="shared" si="1"/>
        <v/>
      </c>
      <c r="K22" s="97">
        <v>0.4</v>
      </c>
      <c r="L22" s="109" t="str">
        <f t="shared" si="2"/>
        <v/>
      </c>
      <c r="M22" s="110" t="str">
        <f>IF(L22="","",L22*Configuración!$B$5)</f>
        <v/>
      </c>
      <c r="N22" s="96" t="str">
        <f t="shared" si="3"/>
        <v/>
      </c>
    </row>
    <row r="23" spans="1:14" ht="15" customHeight="1">
      <c r="A23" s="90"/>
      <c r="B23" s="106"/>
      <c r="C23" s="96" t="str">
        <f>IF(B23="","",B23/Configuración!$B$4)</f>
        <v/>
      </c>
      <c r="D23" s="91"/>
      <c r="E23" s="107"/>
      <c r="F23" s="95" t="str">
        <f t="shared" si="0"/>
        <v/>
      </c>
      <c r="G23" s="108"/>
      <c r="H23" s="96" t="str">
        <f>IF(F23="","",ROUND(F23*Configuración!$B$10 + IF(E23="",0,E23/28316.85)*Configuración!$B$15,2))</f>
        <v/>
      </c>
      <c r="I23" s="96" t="str">
        <f>IF(G23="","",IF(G23&gt;Configuración!$B$21,G23*Configuración!$B$22,0))</f>
        <v/>
      </c>
      <c r="J23" s="103" t="str">
        <f t="shared" si="1"/>
        <v/>
      </c>
      <c r="K23" s="97">
        <v>0.4</v>
      </c>
      <c r="L23" s="109" t="str">
        <f t="shared" si="2"/>
        <v/>
      </c>
      <c r="M23" s="110" t="str">
        <f>IF(L23="","",L23*Configuración!$B$5)</f>
        <v/>
      </c>
      <c r="N23" s="96" t="str">
        <f t="shared" si="3"/>
        <v/>
      </c>
    </row>
    <row r="24" spans="1:14" ht="15" customHeight="1">
      <c r="A24" s="90"/>
      <c r="B24" s="106"/>
      <c r="C24" s="96" t="str">
        <f>IF(B24="","",B24/Configuración!$B$4)</f>
        <v/>
      </c>
      <c r="D24" s="91"/>
      <c r="E24" s="107"/>
      <c r="F24" s="95" t="str">
        <f t="shared" si="0"/>
        <v/>
      </c>
      <c r="G24" s="108"/>
      <c r="H24" s="96" t="str">
        <f>IF(F24="","",ROUND(F24*Configuración!$B$10 + IF(E24="",0,E24/28316.85)*Configuración!$B$15,2))</f>
        <v/>
      </c>
      <c r="I24" s="96" t="str">
        <f>IF(G24="","",IF(G24&gt;Configuración!$B$21,G24*Configuración!$B$22,0))</f>
        <v/>
      </c>
      <c r="J24" s="103" t="str">
        <f t="shared" si="1"/>
        <v/>
      </c>
      <c r="K24" s="97">
        <v>0.4</v>
      </c>
      <c r="L24" s="109" t="str">
        <f t="shared" si="2"/>
        <v/>
      </c>
      <c r="M24" s="110" t="str">
        <f>IF(L24="","",L24*Configuración!$B$5)</f>
        <v/>
      </c>
      <c r="N24" s="96" t="str">
        <f t="shared" si="3"/>
        <v/>
      </c>
    </row>
    <row r="25" spans="1:14" ht="15" customHeight="1">
      <c r="A25" s="111" t="s">
        <v>173</v>
      </c>
      <c r="B25" s="98"/>
      <c r="C25" s="98"/>
      <c r="D25" s="98"/>
      <c r="E25" s="98"/>
      <c r="F25" s="98"/>
      <c r="G25" s="98"/>
      <c r="H25" s="98"/>
      <c r="I25" s="98"/>
      <c r="J25" s="99">
        <f>IF(COUNTA(J5:J24)=0,"",SUM(J5:J24))</f>
        <v>0</v>
      </c>
      <c r="K25" s="112">
        <f>IF(COUNTA(K5:K24)=0,"",AVERAGE(K5:K24))</f>
        <v>0.40000000000000008</v>
      </c>
      <c r="L25" s="99">
        <f>IF(COUNTA(L5:L24)=0,"",SUM(L5:L24))</f>
        <v>0</v>
      </c>
      <c r="M25" s="113">
        <f>IF(COUNTA(M5:M24)=0,"",SUM(M5:M24))</f>
        <v>0</v>
      </c>
      <c r="N25" s="99">
        <f>IF(COUNTA(N5:N24)=0,"",SUM(N5:N24))</f>
        <v>0</v>
      </c>
    </row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zoomScaleNormal="100" workbookViewId="0"/>
  </sheetViews>
  <sheetFormatPr baseColWidth="10" defaultColWidth="14.44140625" defaultRowHeight="14.4"/>
  <cols>
    <col min="1" max="1" width="32" customWidth="1"/>
    <col min="2" max="2" width="16" customWidth="1"/>
    <col min="3" max="3" width="12" customWidth="1"/>
    <col min="4" max="4" width="40" customWidth="1"/>
    <col min="5" max="26" width="8.77734375" customWidth="1"/>
  </cols>
  <sheetData>
    <row r="1" spans="1:4" ht="27.75" customHeight="1">
      <c r="A1" s="2" t="s">
        <v>174</v>
      </c>
      <c r="B1" s="2"/>
      <c r="C1" s="2"/>
      <c r="D1" s="2"/>
    </row>
    <row r="2" spans="1:4" ht="15" customHeight="1"/>
    <row r="3" spans="1:4" ht="15" customHeight="1">
      <c r="A3" s="10" t="s">
        <v>175</v>
      </c>
      <c r="B3" s="10"/>
      <c r="C3" s="10"/>
      <c r="D3" s="10"/>
    </row>
    <row r="4" spans="1:4" ht="15" customHeight="1">
      <c r="A4" s="100" t="s">
        <v>176</v>
      </c>
      <c r="B4" s="91">
        <v>4</v>
      </c>
      <c r="C4" s="114"/>
      <c r="D4" s="115" t="s">
        <v>177</v>
      </c>
    </row>
    <row r="5" spans="1:4" ht="15" customHeight="1">
      <c r="A5" s="100" t="s">
        <v>178</v>
      </c>
      <c r="B5" s="91">
        <v>5.8</v>
      </c>
      <c r="C5" s="114" t="s">
        <v>13</v>
      </c>
      <c r="D5" s="115" t="s">
        <v>179</v>
      </c>
    </row>
    <row r="6" spans="1:4" ht="15" customHeight="1">
      <c r="A6" s="100" t="s">
        <v>180</v>
      </c>
      <c r="B6" s="91">
        <v>58</v>
      </c>
      <c r="C6" s="114" t="s">
        <v>21</v>
      </c>
      <c r="D6" s="115" t="s">
        <v>181</v>
      </c>
    </row>
    <row r="7" spans="1:4" ht="15" customHeight="1">
      <c r="A7" s="100" t="s">
        <v>182</v>
      </c>
      <c r="B7" s="91">
        <v>85</v>
      </c>
      <c r="C7" s="114" t="s">
        <v>21</v>
      </c>
      <c r="D7" s="115" t="s">
        <v>183</v>
      </c>
    </row>
    <row r="8" spans="1:4" ht="15" customHeight="1">
      <c r="A8" s="100" t="s">
        <v>184</v>
      </c>
      <c r="B8" s="116">
        <v>0</v>
      </c>
      <c r="C8" s="114" t="s">
        <v>185</v>
      </c>
      <c r="D8" s="115" t="s">
        <v>186</v>
      </c>
    </row>
    <row r="9" spans="1:4" ht="15" customHeight="1">
      <c r="A9" s="10" t="s">
        <v>187</v>
      </c>
      <c r="B9" s="10"/>
      <c r="C9" s="10"/>
      <c r="D9" s="10"/>
    </row>
    <row r="10" spans="1:4" ht="15" customHeight="1">
      <c r="A10" s="100" t="s">
        <v>188</v>
      </c>
      <c r="B10" s="96">
        <f>IFERROR(IF(Configuración!$B$8,INDEX('Tarifas Shoppre'!$E$4:$E$219,MATCH(MIN(22,MAX(0.5,ROUND(CEILING(B5,0.1),1))),'Tarifas Shoppre'!$A$4:$A$219,1)),INDEX('Tarifas Shoppre'!$D$4:$D$219,MATCH(MIN(22,MAX(0.5,ROUND(CEILING(B5,0.1),1))),'Tarifas Shoppre'!$A$4:$A$219,1))),0)</f>
        <v>109.02</v>
      </c>
      <c r="C10" s="114" t="s">
        <v>21</v>
      </c>
      <c r="D10" s="25" t="s">
        <v>189</v>
      </c>
    </row>
    <row r="11" spans="1:4" ht="15" customHeight="1">
      <c r="A11" s="100" t="s">
        <v>190</v>
      </c>
      <c r="B11" s="96">
        <f>B8*Configuración!$B$15</f>
        <v>0</v>
      </c>
      <c r="C11" s="114" t="s">
        <v>21</v>
      </c>
    </row>
    <row r="12" spans="1:4" ht="15" customHeight="1">
      <c r="A12" s="100" t="s">
        <v>191</v>
      </c>
      <c r="B12" s="117">
        <f>IF(B7&gt;Configuración!$B$21,B7*Configuración!$B$22,0)</f>
        <v>0</v>
      </c>
      <c r="C12" s="114" t="s">
        <v>21</v>
      </c>
      <c r="D12" s="25" t="s">
        <v>192</v>
      </c>
    </row>
    <row r="13" spans="1:4" ht="15" customHeight="1">
      <c r="A13" s="118" t="s">
        <v>193</v>
      </c>
      <c r="B13" s="119">
        <f>B10+B11+B12</f>
        <v>109.02</v>
      </c>
      <c r="C13" s="114" t="s">
        <v>21</v>
      </c>
    </row>
    <row r="14" spans="1:4" ht="15" customHeight="1">
      <c r="A14" s="100" t="s">
        <v>194</v>
      </c>
      <c r="B14" s="96">
        <f>IF(B5=0,"",B13/B5)</f>
        <v>18.796551724137931</v>
      </c>
      <c r="C14" s="114" t="s">
        <v>16</v>
      </c>
    </row>
    <row r="15" spans="1:4" ht="15" customHeight="1">
      <c r="A15" s="100" t="s">
        <v>195</v>
      </c>
      <c r="B15" s="96">
        <f>IF(B4=0,"",B13/B4)</f>
        <v>27.254999999999999</v>
      </c>
      <c r="C15" s="114" t="s">
        <v>196</v>
      </c>
    </row>
    <row r="16" spans="1:4" ht="15" customHeight="1"/>
    <row r="17" ht="15" customHeight="1"/>
    <row r="18" ht="15" customHeight="1"/>
    <row r="19" ht="15" customHeight="1"/>
    <row r="20" ht="1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D3"/>
    <mergeCell ref="A9:D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Configuración</vt:lpstr>
      <vt:lpstr>Tarifas Shoppre</vt:lpstr>
      <vt:lpstr>Catálogo</vt:lpstr>
      <vt:lpstr>Próximo Pedido</vt:lpstr>
      <vt:lpstr>Calculadora</vt:lpstr>
      <vt:lpstr>Simulador Envío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Aaron</cp:lastModifiedBy>
  <cp:revision>0</cp:revision>
  <dcterms:created xsi:type="dcterms:W3CDTF">2026-05-19T01:10:03Z</dcterms:created>
  <dcterms:modified xsi:type="dcterms:W3CDTF">2026-06-12T15:16:49Z</dcterms:modified>
  <dc:language>en-US</dc:language>
</cp:coreProperties>
</file>